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dafone-my.sharepoint.com/personal/sulochana_vemula_vodafone_com/Documents/Desktop/Learnings/Informix/Informix-To-Linux/"/>
    </mc:Choice>
  </mc:AlternateContent>
  <xr:revisionPtr revIDLastSave="447" documentId="8_{4B3F47F5-0570-496E-AAB1-96C4DF4130B7}" xr6:coauthVersionLast="47" xr6:coauthVersionMax="47" xr10:uidLastSave="{F52B432B-84CA-458B-84A6-7EFC63A455DB}"/>
  <bookViews>
    <workbookView xWindow="-110" yWindow="-110" windowWidth="19420" windowHeight="10300" activeTab="2" xr2:uid="{9EFCF1E4-01D4-453F-9675-905B9F3B639D}"/>
  </bookViews>
  <sheets>
    <sheet name="Sheet1" sheetId="1" r:id="rId1"/>
    <sheet name="DB_Extents_Size" sheetId="2" r:id="rId2"/>
    <sheet name="Sheet2" sheetId="4" r:id="rId3"/>
    <sheet name="Config_Analysi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  <c r="M18" i="2"/>
  <c r="N18" i="2"/>
  <c r="O18" i="2"/>
  <c r="P18" i="2"/>
  <c r="L18" i="2"/>
  <c r="M17" i="2"/>
  <c r="N17" i="2"/>
  <c r="O17" i="2"/>
  <c r="P17" i="2"/>
  <c r="L17" i="2"/>
  <c r="M13" i="2"/>
  <c r="N13" i="2"/>
  <c r="O13" i="2"/>
  <c r="P13" i="2"/>
  <c r="L13" i="2"/>
  <c r="M12" i="2"/>
  <c r="N12" i="2"/>
  <c r="O12" i="2"/>
  <c r="P12" i="2"/>
  <c r="L12" i="2"/>
  <c r="M10" i="2"/>
  <c r="N10" i="2"/>
  <c r="O10" i="2"/>
  <c r="P10" i="2"/>
  <c r="L10" i="2"/>
  <c r="M9" i="2"/>
  <c r="N9" i="2"/>
  <c r="O9" i="2"/>
  <c r="P9" i="2"/>
  <c r="L9" i="2"/>
  <c r="M8" i="2"/>
  <c r="N8" i="2"/>
  <c r="O8" i="2"/>
  <c r="P8" i="2"/>
  <c r="L8" i="2"/>
  <c r="M6" i="2"/>
  <c r="N6" i="2"/>
  <c r="O6" i="2"/>
  <c r="P6" i="2"/>
  <c r="L6" i="2"/>
  <c r="M5" i="2"/>
  <c r="N5" i="2"/>
  <c r="O5" i="2"/>
  <c r="P5" i="2"/>
  <c r="L5" i="2"/>
  <c r="M4" i="2"/>
  <c r="N4" i="2"/>
  <c r="O4" i="2"/>
  <c r="P4" i="2"/>
  <c r="L4" i="2"/>
</calcChain>
</file>

<file path=xl/sharedStrings.xml><?xml version="1.0" encoding="utf-8"?>
<sst xmlns="http://schemas.openxmlformats.org/spreadsheetml/2006/main" count="462" uniqueCount="129">
  <si>
    <t>Database Name</t>
  </si>
  <si>
    <t>Allocated</t>
  </si>
  <si>
    <t>Used</t>
  </si>
  <si>
    <t>Data</t>
  </si>
  <si>
    <t>subvent</t>
  </si>
  <si>
    <t>tochgval</t>
  </si>
  <si>
    <t>erwerb</t>
  </si>
  <si>
    <t>tochgreq</t>
  </si>
  <si>
    <t>arsoc</t>
  </si>
  <si>
    <t>misc</t>
  </si>
  <si>
    <t>subventmulti</t>
  </si>
  <si>
    <t>aktiv</t>
  </si>
  <si>
    <t>port_aktiv</t>
  </si>
  <si>
    <t>wechsel</t>
  </si>
  <si>
    <t>tausch</t>
  </si>
  <si>
    <t>aktiv_imp</t>
  </si>
  <si>
    <t>rueckmeldung</t>
  </si>
  <si>
    <t>benutzer</t>
  </si>
  <si>
    <t>reg</t>
  </si>
  <si>
    <t>port_reg</t>
  </si>
  <si>
    <t>debitchg</t>
  </si>
  <si>
    <t>Tables:</t>
  </si>
  <si>
    <t>tramo.auftragextract</t>
  </si>
  <si>
    <t>tramo.auftragblob</t>
  </si>
  <si>
    <t>tramo.auftragzeiten</t>
  </si>
  <si>
    <t>tramo.csmblob</t>
  </si>
  <si>
    <t>tramo.status</t>
  </si>
  <si>
    <t>Percentage</t>
  </si>
  <si>
    <t>auftragextract</t>
  </si>
  <si>
    <t>auftragblob</t>
  </si>
  <si>
    <t>auftragzeiten</t>
  </si>
  <si>
    <t>csmblob</t>
  </si>
  <si>
    <t>status</t>
  </si>
  <si>
    <t>Required Tables</t>
  </si>
  <si>
    <t>DB Sizes</t>
  </si>
  <si>
    <t>Not Required</t>
  </si>
  <si>
    <t>DB Spaces</t>
  </si>
  <si>
    <t>datadbs1</t>
  </si>
  <si>
    <t>datadbs2</t>
  </si>
  <si>
    <t>Percentage Calculation</t>
  </si>
  <si>
    <t>dbs4</t>
  </si>
  <si>
    <t>db4</t>
  </si>
  <si>
    <t>db2</t>
  </si>
  <si>
    <t>dbs2</t>
  </si>
  <si>
    <t>dbs1</t>
  </si>
  <si>
    <t>dbs3</t>
  </si>
  <si>
    <t>db3</t>
  </si>
  <si>
    <t>dbspaces</t>
  </si>
  <si>
    <t>Comments</t>
  </si>
  <si>
    <t>DONE along with schema</t>
  </si>
  <si>
    <t>rataktp1_vm</t>
  </si>
  <si>
    <t>rataktp2_vm</t>
  </si>
  <si>
    <t>rataktp4_vm</t>
  </si>
  <si>
    <t>ratcalp2_vm</t>
  </si>
  <si>
    <t>Config Parameter Analysis</t>
  </si>
  <si>
    <t>Instance Name</t>
  </si>
  <si>
    <t>Parameter</t>
  </si>
  <si>
    <t>bufreads</t>
  </si>
  <si>
    <t>lockreqs</t>
  </si>
  <si>
    <t>seqscans</t>
  </si>
  <si>
    <t>usercpu</t>
  </si>
  <si>
    <t>syscpu</t>
  </si>
  <si>
    <t>%cached(read)</t>
  </si>
  <si>
    <t>Page Size</t>
  </si>
  <si>
    <t>dskreads</t>
  </si>
  <si>
    <t>pagreads</t>
  </si>
  <si>
    <t>%cached_reads</t>
  </si>
  <si>
    <t>dskwrits</t>
  </si>
  <si>
    <t>pagwrits</t>
  </si>
  <si>
    <t>bufwrits</t>
  </si>
  <si>
    <t>%cached_writes</t>
  </si>
  <si>
    <t>bufwrits_sinceckpt</t>
  </si>
  <si>
    <t>bufwaits</t>
  </si>
  <si>
    <t>ovbuff</t>
  </si>
  <si>
    <t>flushes</t>
  </si>
  <si>
    <t>Fg Writes</t>
  </si>
  <si>
    <t>LRU Writes</t>
  </si>
  <si>
    <t>Avg LRU Time</t>
  </si>
  <si>
    <t>Chunk Writes</t>
  </si>
  <si>
    <t>Total Mem</t>
  </si>
  <si>
    <t>NaN</t>
  </si>
  <si>
    <t>65Mb</t>
  </si>
  <si>
    <t>608Mb</t>
  </si>
  <si>
    <t>onstat -g buf:</t>
  </si>
  <si>
    <t>id</t>
  </si>
  <si>
    <t>key</t>
  </si>
  <si>
    <t>addr</t>
  </si>
  <si>
    <t>size</t>
  </si>
  <si>
    <t>ovhd</t>
  </si>
  <si>
    <t>class</t>
  </si>
  <si>
    <t>blkused</t>
  </si>
  <si>
    <t>blkfree</t>
  </si>
  <si>
    <t>525d4801</t>
  </si>
  <si>
    <t>10a000000</t>
  </si>
  <si>
    <t>R</t>
  </si>
  <si>
    <t>525d4802</t>
  </si>
  <si>
    <t>10da00000</t>
  </si>
  <si>
    <t>V</t>
  </si>
  <si>
    <t>525d4803</t>
  </si>
  <si>
    <t>11da00000</t>
  </si>
  <si>
    <t>B</t>
  </si>
  <si>
    <t>525d4804</t>
  </si>
  <si>
    <t>121b00000</t>
  </si>
  <si>
    <t>onstat -g seg</t>
  </si>
  <si>
    <t>onstat -F</t>
  </si>
  <si>
    <t>Flusher</t>
  </si>
  <si>
    <t>State</t>
  </si>
  <si>
    <t>Wakeups</t>
  </si>
  <si>
    <t>Idle Time</t>
  </si>
  <si>
    <t>I</t>
  </si>
  <si>
    <t>3953Mb</t>
  </si>
  <si>
    <t>52604801</t>
  </si>
  <si>
    <t>52604802</t>
  </si>
  <si>
    <t>52604803</t>
  </si>
  <si>
    <t>52604804</t>
  </si>
  <si>
    <t>526a4801</t>
  </si>
  <si>
    <t>526a4802</t>
  </si>
  <si>
    <t>526a4803</t>
  </si>
  <si>
    <t>526a4804</t>
  </si>
  <si>
    <t>527e4801</t>
  </si>
  <si>
    <t>527e4802</t>
  </si>
  <si>
    <t>527e4803</t>
  </si>
  <si>
    <t>527e4804</t>
  </si>
  <si>
    <t>Chunk</t>
  </si>
  <si>
    <t xml:space="preserve">Chunk </t>
  </si>
  <si>
    <t>datadbs3</t>
  </si>
  <si>
    <t>datadbs4</t>
  </si>
  <si>
    <t xml:space="preserve">Ignore </t>
  </si>
  <si>
    <t>New_DBSpaces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</si>
</sst>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rgb="FFFFFFFF"/>
      <name val="Aptos"/>
      <family val="2"/>
    </font>
    <font>
      <sz val="12"/>
      <color rgb="FF000000"/>
      <name val="Aptos"/>
      <family val="2"/>
    </font>
    <font>
      <b/>
      <sz val="14"/>
      <color theme="1"/>
      <name val="Amasis MT Pro"/>
      <family val="1"/>
    </font>
    <font>
      <b/>
      <sz val="12"/>
      <color theme="1"/>
      <name val="Amasis MT Pro"/>
      <family val="1"/>
    </font>
    <font>
      <sz val="11"/>
      <color theme="1"/>
      <name val="Amasis MT Pro"/>
      <family val="1"/>
    </font>
    <font>
      <b/>
      <sz val="11"/>
      <color rgb="FF00000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2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68FF0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7D2FC"/>
        <bgColor indexed="64"/>
      </patternFill>
    </fill>
    <fill>
      <patternFill patternType="solid">
        <fgColor rgb="FFC7F2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" fontId="0" fillId="0" borderId="0" xfId="0" applyNumberFormat="1"/>
    <xf numFmtId="0" fontId="2" fillId="5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4" fillId="9" borderId="8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/>
    </xf>
    <xf numFmtId="0" fontId="5" fillId="12" borderId="12" xfId="0" applyFont="1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1" fontId="4" fillId="11" borderId="8" xfId="0" applyNumberFormat="1" applyFont="1" applyFill="1" applyBorder="1" applyAlignment="1">
      <alignment horizontal="center" vertical="center"/>
    </xf>
    <xf numFmtId="1" fontId="4" fillId="11" borderId="2" xfId="0" applyNumberFormat="1" applyFont="1" applyFill="1" applyBorder="1" applyAlignment="1">
      <alignment horizontal="center" vertical="center"/>
    </xf>
    <xf numFmtId="1" fontId="5" fillId="11" borderId="8" xfId="0" applyNumberFormat="1" applyFont="1" applyFill="1" applyBorder="1" applyAlignment="1">
      <alignment horizontal="center"/>
    </xf>
    <xf numFmtId="1" fontId="5" fillId="11" borderId="2" xfId="0" applyNumberFormat="1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/>
    </xf>
    <xf numFmtId="1" fontId="0" fillId="11" borderId="2" xfId="0" applyNumberFormat="1" applyFill="1" applyBorder="1" applyAlignment="1">
      <alignment horizontal="center"/>
    </xf>
    <xf numFmtId="1" fontId="0" fillId="11" borderId="8" xfId="0" applyNumberForma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14" borderId="3" xfId="0" applyFill="1" applyBorder="1"/>
    <xf numFmtId="0" fontId="0" fillId="14" borderId="21" xfId="0" applyFill="1" applyBorder="1"/>
    <xf numFmtId="0" fontId="8" fillId="16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18" borderId="2" xfId="0" applyFont="1" applyFill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9" fillId="20" borderId="2" xfId="0" applyFont="1" applyFill="1" applyBorder="1" applyAlignment="1">
      <alignment horizontal="center" vertical="top"/>
    </xf>
    <xf numFmtId="0" fontId="7" fillId="12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 vertical="center" wrapText="1"/>
    </xf>
    <xf numFmtId="0" fontId="8" fillId="16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16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19" borderId="17" xfId="0" applyFont="1" applyFill="1" applyBorder="1" applyAlignment="1">
      <alignment horizontal="center" vertical="center" wrapText="1"/>
    </xf>
    <xf numFmtId="0" fontId="9" fillId="18" borderId="8" xfId="0" applyFont="1" applyFill="1" applyBorder="1" applyAlignment="1">
      <alignment horizontal="center" vertical="top"/>
    </xf>
    <xf numFmtId="0" fontId="9" fillId="18" borderId="9" xfId="0" applyFont="1" applyFill="1" applyBorder="1" applyAlignment="1">
      <alignment horizontal="center" vertical="top"/>
    </xf>
    <xf numFmtId="0" fontId="7" fillId="12" borderId="8" xfId="0" applyFont="1" applyFill="1" applyBorder="1" applyAlignment="1">
      <alignment horizontal="center"/>
    </xf>
    <xf numFmtId="0" fontId="7" fillId="12" borderId="9" xfId="0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9" fillId="20" borderId="8" xfId="0" applyFont="1" applyFill="1" applyBorder="1" applyAlignment="1">
      <alignment horizontal="center" vertical="top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12" borderId="11" xfId="0" applyFont="1" applyFill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21" borderId="8" xfId="0" applyFont="1" applyFill="1" applyBorder="1" applyAlignment="1">
      <alignment horizontal="center"/>
    </xf>
    <xf numFmtId="1" fontId="4" fillId="13" borderId="19" xfId="0" applyNumberFormat="1" applyFont="1" applyFill="1" applyBorder="1" applyAlignment="1">
      <alignment vertical="center"/>
    </xf>
    <xf numFmtId="1" fontId="4" fillId="13" borderId="22" xfId="0" applyNumberFormat="1" applyFont="1" applyFill="1" applyBorder="1" applyAlignment="1">
      <alignment horizontal="center" vertical="center"/>
    </xf>
    <xf numFmtId="1" fontId="4" fillId="13" borderId="9" xfId="0" applyNumberFormat="1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1" fontId="5" fillId="5" borderId="8" xfId="0" applyNumberFormat="1" applyFont="1" applyFill="1" applyBorder="1" applyAlignment="1">
      <alignment horizontal="center"/>
    </xf>
    <xf numFmtId="1" fontId="5" fillId="5" borderId="2" xfId="0" applyNumberFormat="1" applyFont="1" applyFill="1" applyBorder="1" applyAlignment="1">
      <alignment horizontal="center"/>
    </xf>
    <xf numFmtId="1" fontId="5" fillId="5" borderId="10" xfId="0" applyNumberFormat="1" applyFont="1" applyFill="1" applyBorder="1" applyAlignment="1">
      <alignment horizontal="center"/>
    </xf>
    <xf numFmtId="1" fontId="5" fillId="5" borderId="11" xfId="0" applyNumberFormat="1" applyFont="1" applyFill="1" applyBorder="1" applyAlignment="1">
      <alignment horizontal="center"/>
    </xf>
    <xf numFmtId="1" fontId="4" fillId="13" borderId="19" xfId="0" applyNumberFormat="1" applyFont="1" applyFill="1" applyBorder="1" applyAlignment="1">
      <alignment horizontal="center" vertical="center"/>
    </xf>
    <xf numFmtId="1" fontId="4" fillId="13" borderId="20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" fontId="3" fillId="10" borderId="17" xfId="0" applyNumberFormat="1" applyFont="1" applyFill="1" applyBorder="1" applyAlignment="1">
      <alignment horizontal="center" vertical="center"/>
    </xf>
    <xf numFmtId="1" fontId="3" fillId="10" borderId="18" xfId="0" applyNumberFormat="1" applyFont="1" applyFill="1" applyBorder="1" applyAlignment="1">
      <alignment horizontal="center" vertical="center"/>
    </xf>
    <xf numFmtId="0" fontId="10" fillId="17" borderId="18" xfId="0" applyFont="1" applyFill="1" applyBorder="1" applyAlignment="1">
      <alignment horizontal="center"/>
    </xf>
    <xf numFmtId="0" fontId="10" fillId="17" borderId="22" xfId="0" applyFont="1" applyFill="1" applyBorder="1" applyAlignment="1">
      <alignment horizontal="center"/>
    </xf>
    <xf numFmtId="0" fontId="10" fillId="17" borderId="8" xfId="0" applyFont="1" applyFill="1" applyBorder="1" applyAlignment="1">
      <alignment horizontal="center"/>
    </xf>
    <xf numFmtId="0" fontId="10" fillId="17" borderId="2" xfId="0" applyFont="1" applyFill="1" applyBorder="1" applyAlignment="1">
      <alignment horizontal="center"/>
    </xf>
    <xf numFmtId="0" fontId="6" fillId="17" borderId="17" xfId="0" applyFont="1" applyFill="1" applyBorder="1" applyAlignment="1">
      <alignment horizontal="center" vertical="center" wrapText="1"/>
    </xf>
    <xf numFmtId="0" fontId="6" fillId="17" borderId="18" xfId="0" applyFont="1" applyFill="1" applyBorder="1" applyAlignment="1">
      <alignment horizontal="center" vertical="center" wrapText="1"/>
    </xf>
    <xf numFmtId="0" fontId="6" fillId="17" borderId="22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6" fillId="15" borderId="9" xfId="0" applyFont="1" applyFill="1" applyBorder="1" applyAlignment="1">
      <alignment horizontal="center" vertical="center" wrapText="1"/>
    </xf>
    <xf numFmtId="0" fontId="6" fillId="15" borderId="8" xfId="0" applyFont="1" applyFill="1" applyBorder="1" applyAlignment="1">
      <alignment horizontal="center" vertical="center" wrapText="1"/>
    </xf>
    <xf numFmtId="0" fontId="5" fillId="22" borderId="8" xfId="0" applyFont="1" applyFill="1" applyBorder="1" applyAlignment="1">
      <alignment horizontal="center"/>
    </xf>
    <xf numFmtId="0" fontId="5" fillId="22" borderId="10" xfId="0" applyFont="1" applyFill="1" applyBorder="1" applyAlignment="1">
      <alignment horizontal="center"/>
    </xf>
    <xf numFmtId="0" fontId="5" fillId="12" borderId="8" xfId="0" applyFont="1" applyFill="1" applyBorder="1" applyAlignment="1">
      <alignment horizontal="center"/>
    </xf>
    <xf numFmtId="0" fontId="5" fillId="0" borderId="2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49EF6-761A-4365-874B-5AF78738AB51}">
  <dimension ref="E2:J26"/>
  <sheetViews>
    <sheetView zoomScale="90" zoomScaleNormal="90" workbookViewId="0">
      <selection activeCell="I3" sqref="I3"/>
    </sheetView>
  </sheetViews>
  <sheetFormatPr defaultRowHeight="14.5" x14ac:dyDescent="0.35"/>
  <cols>
    <col min="4" max="4" width="16" customWidth="1"/>
    <col min="5" max="5" width="17.36328125" customWidth="1"/>
    <col min="6" max="6" width="15" customWidth="1"/>
    <col min="7" max="7" width="13.1796875" customWidth="1"/>
    <col min="8" max="8" width="12.54296875" customWidth="1"/>
    <col min="9" max="9" width="13.1796875" style="4" customWidth="1"/>
  </cols>
  <sheetData>
    <row r="2" spans="5:10" ht="16" x14ac:dyDescent="0.35">
      <c r="E2" s="1" t="s">
        <v>0</v>
      </c>
      <c r="F2" s="1" t="s">
        <v>1</v>
      </c>
      <c r="G2" s="1" t="s">
        <v>2</v>
      </c>
      <c r="H2" s="1" t="s">
        <v>3</v>
      </c>
    </row>
    <row r="3" spans="5:10" ht="16" x14ac:dyDescent="0.35">
      <c r="E3" s="5" t="s">
        <v>4</v>
      </c>
      <c r="F3" s="2">
        <v>2791497</v>
      </c>
      <c r="G3" s="3">
        <v>2466069</v>
      </c>
      <c r="H3" s="2">
        <v>601440</v>
      </c>
      <c r="J3" s="4"/>
    </row>
    <row r="4" spans="5:10" ht="16" x14ac:dyDescent="0.35">
      <c r="E4" s="2" t="s">
        <v>5</v>
      </c>
      <c r="F4" s="2">
        <v>1400598</v>
      </c>
      <c r="G4" s="3">
        <v>363465</v>
      </c>
      <c r="H4" s="2">
        <v>35487</v>
      </c>
      <c r="J4" s="4"/>
    </row>
    <row r="5" spans="5:10" ht="16" x14ac:dyDescent="0.35">
      <c r="E5" s="2" t="s">
        <v>6</v>
      </c>
      <c r="F5" s="2">
        <v>673788</v>
      </c>
      <c r="G5" s="3">
        <v>262944</v>
      </c>
      <c r="H5" s="2">
        <v>121074</v>
      </c>
      <c r="J5" s="4"/>
    </row>
    <row r="6" spans="5:10" ht="16" x14ac:dyDescent="0.35">
      <c r="E6" s="2" t="s">
        <v>7</v>
      </c>
      <c r="F6" s="2">
        <v>334248</v>
      </c>
      <c r="G6" s="3">
        <v>9960</v>
      </c>
      <c r="H6" s="2">
        <v>4437</v>
      </c>
      <c r="J6" s="4"/>
    </row>
    <row r="7" spans="5:10" ht="16" x14ac:dyDescent="0.35">
      <c r="E7" s="5" t="s">
        <v>8</v>
      </c>
      <c r="F7" s="2">
        <v>298275</v>
      </c>
      <c r="G7" s="3">
        <v>241029</v>
      </c>
      <c r="H7" s="2">
        <v>110058</v>
      </c>
      <c r="J7" s="4"/>
    </row>
    <row r="8" spans="5:10" ht="16" x14ac:dyDescent="0.35">
      <c r="E8" s="2" t="s">
        <v>9</v>
      </c>
      <c r="F8" s="2">
        <v>102912</v>
      </c>
      <c r="G8" s="3">
        <v>10953</v>
      </c>
      <c r="H8" s="2">
        <v>3177</v>
      </c>
      <c r="J8" s="4"/>
    </row>
    <row r="9" spans="5:10" ht="16" x14ac:dyDescent="0.35">
      <c r="E9" s="2" t="s">
        <v>10</v>
      </c>
      <c r="F9" s="2">
        <v>13902</v>
      </c>
      <c r="G9" s="3">
        <v>2472</v>
      </c>
      <c r="H9" s="2">
        <v>1485</v>
      </c>
      <c r="J9" s="4"/>
    </row>
    <row r="10" spans="5:10" ht="16" x14ac:dyDescent="0.35">
      <c r="E10" s="2" t="s">
        <v>11</v>
      </c>
      <c r="F10" s="2">
        <v>2834418</v>
      </c>
      <c r="G10" s="3">
        <v>1604499</v>
      </c>
      <c r="H10" s="2">
        <v>250932</v>
      </c>
      <c r="J10" s="4"/>
    </row>
    <row r="11" spans="5:10" ht="16" x14ac:dyDescent="0.35">
      <c r="E11" s="5" t="s">
        <v>12</v>
      </c>
      <c r="F11" s="2">
        <v>1178736</v>
      </c>
      <c r="G11" s="3">
        <v>1098792</v>
      </c>
      <c r="H11" s="2">
        <v>88239</v>
      </c>
      <c r="J11" s="4"/>
    </row>
    <row r="12" spans="5:10" ht="16" x14ac:dyDescent="0.35">
      <c r="E12" s="2" t="s">
        <v>13</v>
      </c>
      <c r="F12" s="2">
        <v>347091</v>
      </c>
      <c r="G12" s="3">
        <v>74196</v>
      </c>
      <c r="H12" s="2">
        <v>25035</v>
      </c>
      <c r="J12" s="4"/>
    </row>
    <row r="13" spans="5:10" ht="16" x14ac:dyDescent="0.35">
      <c r="E13" s="2" t="s">
        <v>14</v>
      </c>
      <c r="F13" s="2">
        <v>308403</v>
      </c>
      <c r="G13" s="3">
        <v>62238</v>
      </c>
      <c r="H13" s="2">
        <v>1485</v>
      </c>
      <c r="J13" s="4"/>
    </row>
    <row r="14" spans="5:10" ht="16" x14ac:dyDescent="0.35">
      <c r="E14" s="5" t="s">
        <v>15</v>
      </c>
      <c r="F14" s="2">
        <v>3363</v>
      </c>
      <c r="G14" s="3">
        <v>2184</v>
      </c>
      <c r="H14" s="2">
        <v>1392</v>
      </c>
      <c r="J14" s="4"/>
    </row>
    <row r="15" spans="5:10" ht="16" x14ac:dyDescent="0.35">
      <c r="E15" s="5" t="s">
        <v>16</v>
      </c>
      <c r="F15" s="2">
        <v>1610886</v>
      </c>
      <c r="G15" s="3">
        <v>1402569</v>
      </c>
      <c r="H15" s="2">
        <v>51324</v>
      </c>
      <c r="J15" s="4"/>
    </row>
    <row r="16" spans="5:10" ht="16" x14ac:dyDescent="0.35">
      <c r="E16" s="5" t="s">
        <v>17</v>
      </c>
      <c r="F16" s="2">
        <v>4500</v>
      </c>
      <c r="G16" s="3">
        <v>2415</v>
      </c>
      <c r="H16" s="2">
        <v>1557</v>
      </c>
      <c r="J16" s="4"/>
    </row>
    <row r="17" spans="5:10" ht="16" x14ac:dyDescent="0.35">
      <c r="E17" s="2" t="s">
        <v>18</v>
      </c>
      <c r="F17" s="2">
        <v>4503012</v>
      </c>
      <c r="G17" s="3">
        <v>513078</v>
      </c>
      <c r="H17" s="2">
        <v>133317</v>
      </c>
      <c r="J17" s="4"/>
    </row>
    <row r="18" spans="5:10" ht="16" x14ac:dyDescent="0.35">
      <c r="E18" s="2" t="s">
        <v>19</v>
      </c>
      <c r="F18" s="2">
        <v>40155</v>
      </c>
      <c r="G18" s="3">
        <v>11019</v>
      </c>
      <c r="H18" s="2">
        <v>2943</v>
      </c>
      <c r="J18" s="4"/>
    </row>
    <row r="19" spans="5:10" ht="16" x14ac:dyDescent="0.35">
      <c r="E19" s="5" t="s">
        <v>20</v>
      </c>
      <c r="F19" s="2">
        <v>3453</v>
      </c>
      <c r="G19" s="3">
        <v>2313</v>
      </c>
      <c r="H19" s="2">
        <v>1434</v>
      </c>
      <c r="J19" s="4"/>
    </row>
    <row r="21" spans="5:10" x14ac:dyDescent="0.35">
      <c r="E21" t="s">
        <v>21</v>
      </c>
    </row>
    <row r="22" spans="5:10" x14ac:dyDescent="0.35">
      <c r="E22" t="s">
        <v>22</v>
      </c>
    </row>
    <row r="23" spans="5:10" x14ac:dyDescent="0.35">
      <c r="E23" t="s">
        <v>23</v>
      </c>
    </row>
    <row r="24" spans="5:10" x14ac:dyDescent="0.35">
      <c r="E24" t="s">
        <v>24</v>
      </c>
    </row>
    <row r="25" spans="5:10" x14ac:dyDescent="0.35">
      <c r="E25" t="s">
        <v>25</v>
      </c>
    </row>
    <row r="26" spans="5:10" x14ac:dyDescent="0.35">
      <c r="E26" t="s">
        <v>26</v>
      </c>
    </row>
  </sheetData>
  <pageMargins left="0.7" right="0.7" top="0.75" bottom="0.75" header="0.3" footer="0.3"/>
  <pageSetup orientation="portrait" r:id="rId1"/>
  <headerFooter>
    <oddFooter>&amp;L_x000D_&amp;1#&amp;"Aptos"&amp;7&amp;K000000 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EB56-D34C-4100-827B-35C7080FD58C}">
  <dimension ref="A1:R37"/>
  <sheetViews>
    <sheetView zoomScale="71" zoomScaleNormal="70" workbookViewId="0">
      <selection activeCell="B3" sqref="B3:B9"/>
    </sheetView>
  </sheetViews>
  <sheetFormatPr defaultRowHeight="14.5" x14ac:dyDescent="0.35"/>
  <cols>
    <col min="1" max="1" width="17.6328125" bestFit="1" customWidth="1"/>
    <col min="2" max="2" width="11.81640625" bestFit="1" customWidth="1"/>
    <col min="3" max="3" width="10.90625" bestFit="1" customWidth="1"/>
    <col min="4" max="4" width="8.26953125" bestFit="1" customWidth="1"/>
    <col min="5" max="5" width="7.1796875" bestFit="1" customWidth="1"/>
    <col min="6" max="6" width="12.54296875" bestFit="1" customWidth="1"/>
    <col min="7" max="7" width="16" bestFit="1" customWidth="1"/>
    <col min="8" max="8" width="13.08984375" bestFit="1" customWidth="1"/>
    <col min="9" max="9" width="15" bestFit="1" customWidth="1"/>
    <col min="10" max="10" width="9.6328125" bestFit="1" customWidth="1"/>
    <col min="11" max="11" width="7.1796875" bestFit="1" customWidth="1"/>
    <col min="12" max="12" width="16" style="4" bestFit="1" customWidth="1"/>
    <col min="13" max="13" width="13.08984375" style="4" bestFit="1" customWidth="1"/>
    <col min="14" max="14" width="15" style="4" bestFit="1" customWidth="1"/>
    <col min="15" max="15" width="9.6328125" style="4" bestFit="1" customWidth="1"/>
    <col min="16" max="16" width="7.1796875" style="4" bestFit="1" customWidth="1"/>
    <col min="17" max="17" width="10.54296875" customWidth="1"/>
    <col min="18" max="18" width="25.90625" bestFit="1" customWidth="1"/>
  </cols>
  <sheetData>
    <row r="1" spans="1:18" ht="18" x14ac:dyDescent="0.35">
      <c r="A1" s="73" t="s">
        <v>34</v>
      </c>
      <c r="B1" s="74"/>
      <c r="C1" s="74"/>
      <c r="D1" s="74"/>
      <c r="E1" s="74"/>
      <c r="F1" s="75"/>
      <c r="G1" s="65" t="s">
        <v>33</v>
      </c>
      <c r="H1" s="66"/>
      <c r="I1" s="66"/>
      <c r="J1" s="66"/>
      <c r="K1" s="66"/>
      <c r="L1" s="76" t="s">
        <v>39</v>
      </c>
      <c r="M1" s="77"/>
      <c r="N1" s="77"/>
      <c r="O1" s="77"/>
      <c r="P1" s="77"/>
      <c r="Q1" s="71" t="s">
        <v>47</v>
      </c>
      <c r="R1" s="59" t="s">
        <v>48</v>
      </c>
    </row>
    <row r="2" spans="1:18" ht="15.5" x14ac:dyDescent="0.35">
      <c r="A2" s="9" t="s">
        <v>0</v>
      </c>
      <c r="B2" s="7" t="s">
        <v>36</v>
      </c>
      <c r="C2" s="7" t="s">
        <v>1</v>
      </c>
      <c r="D2" s="7" t="s">
        <v>2</v>
      </c>
      <c r="E2" s="7" t="s">
        <v>3</v>
      </c>
      <c r="F2" s="10" t="s">
        <v>27</v>
      </c>
      <c r="G2" s="15" t="s">
        <v>28</v>
      </c>
      <c r="H2" s="8" t="s">
        <v>29</v>
      </c>
      <c r="I2" s="8" t="s">
        <v>30</v>
      </c>
      <c r="J2" s="8" t="s">
        <v>31</v>
      </c>
      <c r="K2" s="25" t="s">
        <v>32</v>
      </c>
      <c r="L2" s="21" t="s">
        <v>28</v>
      </c>
      <c r="M2" s="22" t="s">
        <v>29</v>
      </c>
      <c r="N2" s="22" t="s">
        <v>30</v>
      </c>
      <c r="O2" s="22" t="s">
        <v>31</v>
      </c>
      <c r="P2" s="22" t="s">
        <v>32</v>
      </c>
      <c r="Q2" s="72"/>
      <c r="R2" s="60"/>
    </row>
    <row r="3" spans="1:18" x14ac:dyDescent="0.35">
      <c r="A3" s="11" t="s">
        <v>4</v>
      </c>
      <c r="B3" s="6" t="s">
        <v>37</v>
      </c>
      <c r="C3" s="6">
        <v>2791497</v>
      </c>
      <c r="D3" s="6">
        <v>2466069</v>
      </c>
      <c r="E3" s="6">
        <v>601440</v>
      </c>
      <c r="F3" s="16">
        <v>88</v>
      </c>
      <c r="G3" s="61" t="s">
        <v>35</v>
      </c>
      <c r="H3" s="62"/>
      <c r="I3" s="62"/>
      <c r="J3" s="62"/>
      <c r="K3" s="62"/>
      <c r="L3" s="67" t="s">
        <v>35</v>
      </c>
      <c r="M3" s="68"/>
      <c r="N3" s="68"/>
      <c r="O3" s="68"/>
      <c r="P3" s="68"/>
      <c r="Q3" s="30" t="s">
        <v>44</v>
      </c>
      <c r="R3" s="6" t="s">
        <v>49</v>
      </c>
    </row>
    <row r="4" spans="1:18" x14ac:dyDescent="0.35">
      <c r="A4" s="12" t="s">
        <v>5</v>
      </c>
      <c r="B4" s="6" t="s">
        <v>38</v>
      </c>
      <c r="C4" s="6">
        <v>1400598</v>
      </c>
      <c r="D4" s="6">
        <v>363465</v>
      </c>
      <c r="E4" s="6">
        <v>35487</v>
      </c>
      <c r="F4" s="16">
        <v>30</v>
      </c>
      <c r="G4" s="18">
        <v>600000</v>
      </c>
      <c r="H4" s="19">
        <v>399996</v>
      </c>
      <c r="I4" s="19">
        <v>249996</v>
      </c>
      <c r="J4" s="19">
        <v>750000</v>
      </c>
      <c r="K4" s="26">
        <v>150000</v>
      </c>
      <c r="L4" s="28">
        <f>G4*0.3</f>
        <v>180000</v>
      </c>
      <c r="M4" s="27">
        <f t="shared" ref="M4:P4" si="0">H4*0.3</f>
        <v>119998.79999999999</v>
      </c>
      <c r="N4" s="27">
        <f t="shared" si="0"/>
        <v>74998.8</v>
      </c>
      <c r="O4" s="27">
        <f t="shared" si="0"/>
        <v>225000</v>
      </c>
      <c r="P4" s="27">
        <f t="shared" si="0"/>
        <v>45000</v>
      </c>
      <c r="Q4" s="30" t="s">
        <v>45</v>
      </c>
      <c r="R4" s="6" t="s">
        <v>49</v>
      </c>
    </row>
    <row r="5" spans="1:18" x14ac:dyDescent="0.35">
      <c r="A5" s="12" t="s">
        <v>6</v>
      </c>
      <c r="B5" s="6" t="s">
        <v>37</v>
      </c>
      <c r="C5" s="6">
        <v>673788</v>
      </c>
      <c r="D5" s="6">
        <v>262944</v>
      </c>
      <c r="E5" s="6">
        <v>121074</v>
      </c>
      <c r="F5" s="16">
        <v>50</v>
      </c>
      <c r="G5" s="20">
        <v>349998</v>
      </c>
      <c r="H5" s="19">
        <v>349998</v>
      </c>
      <c r="I5" s="19">
        <v>139998</v>
      </c>
      <c r="J5" s="19">
        <v>75000</v>
      </c>
      <c r="K5" s="26">
        <v>99996</v>
      </c>
      <c r="L5" s="23">
        <f>G5*0.5</f>
        <v>174999</v>
      </c>
      <c r="M5" s="24">
        <f t="shared" ref="M5:P5" si="1">H5*0.5</f>
        <v>174999</v>
      </c>
      <c r="N5" s="24">
        <f t="shared" si="1"/>
        <v>69999</v>
      </c>
      <c r="O5" s="24">
        <f t="shared" si="1"/>
        <v>37500</v>
      </c>
      <c r="P5" s="24">
        <f t="shared" si="1"/>
        <v>49998</v>
      </c>
      <c r="Q5" s="30" t="s">
        <v>44</v>
      </c>
      <c r="R5" s="6" t="s">
        <v>49</v>
      </c>
    </row>
    <row r="6" spans="1:18" x14ac:dyDescent="0.35">
      <c r="A6" s="12" t="s">
        <v>7</v>
      </c>
      <c r="B6" s="6" t="s">
        <v>38</v>
      </c>
      <c r="C6" s="6">
        <v>334248</v>
      </c>
      <c r="D6" s="6">
        <v>9960</v>
      </c>
      <c r="E6" s="6">
        <v>4437</v>
      </c>
      <c r="F6" s="16">
        <v>10</v>
      </c>
      <c r="G6" s="20">
        <v>150000</v>
      </c>
      <c r="H6" s="19">
        <v>150000</v>
      </c>
      <c r="I6" s="19">
        <v>90000</v>
      </c>
      <c r="J6" s="19">
        <v>49998</v>
      </c>
      <c r="K6" s="26">
        <v>60000</v>
      </c>
      <c r="L6" s="23">
        <f>G6*0.1</f>
        <v>15000</v>
      </c>
      <c r="M6" s="24">
        <f t="shared" ref="M6:P6" si="2">H6*0.1</f>
        <v>15000</v>
      </c>
      <c r="N6" s="24">
        <f t="shared" si="2"/>
        <v>9000</v>
      </c>
      <c r="O6" s="24">
        <f t="shared" si="2"/>
        <v>4999.8</v>
      </c>
      <c r="P6" s="24">
        <f t="shared" si="2"/>
        <v>6000</v>
      </c>
      <c r="Q6" s="30" t="s">
        <v>45</v>
      </c>
      <c r="R6" s="6" t="s">
        <v>49</v>
      </c>
    </row>
    <row r="7" spans="1:18" x14ac:dyDescent="0.35">
      <c r="A7" s="11" t="s">
        <v>8</v>
      </c>
      <c r="B7" s="6" t="s">
        <v>38</v>
      </c>
      <c r="C7" s="6">
        <v>298275</v>
      </c>
      <c r="D7" s="6">
        <v>241029</v>
      </c>
      <c r="E7" s="6">
        <v>110058</v>
      </c>
      <c r="F7" s="16">
        <v>81</v>
      </c>
      <c r="G7" s="61" t="s">
        <v>35</v>
      </c>
      <c r="H7" s="62"/>
      <c r="I7" s="62"/>
      <c r="J7" s="62"/>
      <c r="K7" s="62"/>
      <c r="L7" s="67" t="s">
        <v>35</v>
      </c>
      <c r="M7" s="68"/>
      <c r="N7" s="68"/>
      <c r="O7" s="68"/>
      <c r="P7" s="68"/>
      <c r="Q7" s="30" t="s">
        <v>44</v>
      </c>
      <c r="R7" s="6" t="s">
        <v>49</v>
      </c>
    </row>
    <row r="8" spans="1:18" x14ac:dyDescent="0.35">
      <c r="A8" s="12" t="s">
        <v>9</v>
      </c>
      <c r="B8" s="6" t="s">
        <v>38</v>
      </c>
      <c r="C8" s="6">
        <v>102912</v>
      </c>
      <c r="D8" s="6">
        <v>10953</v>
      </c>
      <c r="E8" s="6">
        <v>3177</v>
      </c>
      <c r="F8" s="16">
        <v>20</v>
      </c>
      <c r="G8" s="20">
        <v>60000</v>
      </c>
      <c r="H8" s="19">
        <v>49998</v>
      </c>
      <c r="I8" s="19">
        <v>30000</v>
      </c>
      <c r="J8" s="19">
        <v>15000</v>
      </c>
      <c r="K8" s="26">
        <v>15000</v>
      </c>
      <c r="L8" s="23">
        <f>G8*0.2</f>
        <v>12000</v>
      </c>
      <c r="M8" s="24">
        <f t="shared" ref="M8:P9" si="3">H8*0.2</f>
        <v>9999.6</v>
      </c>
      <c r="N8" s="24">
        <f t="shared" si="3"/>
        <v>6000</v>
      </c>
      <c r="O8" s="24">
        <f t="shared" si="3"/>
        <v>3000</v>
      </c>
      <c r="P8" s="24">
        <f t="shared" si="3"/>
        <v>3000</v>
      </c>
      <c r="Q8" s="30" t="s">
        <v>45</v>
      </c>
      <c r="R8" s="6" t="s">
        <v>49</v>
      </c>
    </row>
    <row r="9" spans="1:18" x14ac:dyDescent="0.35">
      <c r="A9" s="12" t="s">
        <v>10</v>
      </c>
      <c r="B9" s="6" t="s">
        <v>37</v>
      </c>
      <c r="C9" s="6">
        <v>13902</v>
      </c>
      <c r="D9" s="6">
        <v>2472</v>
      </c>
      <c r="E9" s="6">
        <v>1485</v>
      </c>
      <c r="F9" s="16">
        <v>20</v>
      </c>
      <c r="G9" s="20">
        <v>996</v>
      </c>
      <c r="H9" s="19">
        <v>996</v>
      </c>
      <c r="I9" s="19">
        <v>1998</v>
      </c>
      <c r="J9" s="19">
        <v>1998</v>
      </c>
      <c r="K9" s="26">
        <v>996</v>
      </c>
      <c r="L9" s="23">
        <f>G9*0.2</f>
        <v>199.20000000000002</v>
      </c>
      <c r="M9" s="24">
        <f t="shared" si="3"/>
        <v>199.20000000000002</v>
      </c>
      <c r="N9" s="24">
        <f t="shared" si="3"/>
        <v>399.6</v>
      </c>
      <c r="O9" s="24">
        <f t="shared" si="3"/>
        <v>399.6</v>
      </c>
      <c r="P9" s="24">
        <f t="shared" si="3"/>
        <v>199.20000000000002</v>
      </c>
      <c r="Q9" s="30" t="s">
        <v>45</v>
      </c>
      <c r="R9" s="6" t="s">
        <v>49</v>
      </c>
    </row>
    <row r="10" spans="1:18" x14ac:dyDescent="0.35">
      <c r="A10" s="12" t="s">
        <v>11</v>
      </c>
      <c r="B10" s="6" t="s">
        <v>37</v>
      </c>
      <c r="C10" s="6">
        <v>2834418</v>
      </c>
      <c r="D10" s="6">
        <v>1604499</v>
      </c>
      <c r="E10" s="6">
        <v>250932</v>
      </c>
      <c r="F10" s="16">
        <v>70</v>
      </c>
      <c r="G10" s="20">
        <v>900000</v>
      </c>
      <c r="H10" s="19">
        <v>1200000</v>
      </c>
      <c r="I10" s="19">
        <v>900000</v>
      </c>
      <c r="J10" s="19">
        <v>900000</v>
      </c>
      <c r="K10" s="26">
        <v>300000</v>
      </c>
      <c r="L10" s="23">
        <f>G10*0.7</f>
        <v>630000</v>
      </c>
      <c r="M10" s="24">
        <f t="shared" ref="M10:P10" si="4">H10*0.7</f>
        <v>840000</v>
      </c>
      <c r="N10" s="24">
        <f t="shared" si="4"/>
        <v>630000</v>
      </c>
      <c r="O10" s="24">
        <f t="shared" si="4"/>
        <v>630000</v>
      </c>
      <c r="P10" s="24">
        <f t="shared" si="4"/>
        <v>210000</v>
      </c>
      <c r="Q10" s="30" t="s">
        <v>42</v>
      </c>
      <c r="R10" s="6" t="s">
        <v>49</v>
      </c>
    </row>
    <row r="11" spans="1:18" x14ac:dyDescent="0.35">
      <c r="A11" s="11" t="s">
        <v>12</v>
      </c>
      <c r="B11" s="6" t="s">
        <v>38</v>
      </c>
      <c r="C11" s="6">
        <v>1178736</v>
      </c>
      <c r="D11" s="6">
        <v>1098792</v>
      </c>
      <c r="E11" s="6">
        <v>88239</v>
      </c>
      <c r="F11" s="16">
        <v>93</v>
      </c>
      <c r="G11" s="61" t="s">
        <v>35</v>
      </c>
      <c r="H11" s="62"/>
      <c r="I11" s="62"/>
      <c r="J11" s="62"/>
      <c r="K11" s="62"/>
      <c r="L11" s="67" t="s">
        <v>35</v>
      </c>
      <c r="M11" s="68"/>
      <c r="N11" s="68"/>
      <c r="O11" s="68"/>
      <c r="P11" s="68"/>
      <c r="Q11" s="30" t="s">
        <v>43</v>
      </c>
      <c r="R11" s="6" t="s">
        <v>49</v>
      </c>
    </row>
    <row r="12" spans="1:18" x14ac:dyDescent="0.35">
      <c r="A12" s="12" t="s">
        <v>13</v>
      </c>
      <c r="B12" s="6" t="s">
        <v>38</v>
      </c>
      <c r="C12" s="6">
        <v>347091</v>
      </c>
      <c r="D12" s="6">
        <v>74196</v>
      </c>
      <c r="E12" s="6">
        <v>25035</v>
      </c>
      <c r="F12" s="16">
        <v>30</v>
      </c>
      <c r="G12" s="20">
        <v>120000</v>
      </c>
      <c r="H12" s="19">
        <v>150000</v>
      </c>
      <c r="I12" s="19">
        <v>120000</v>
      </c>
      <c r="J12" s="19">
        <v>90000</v>
      </c>
      <c r="K12" s="26">
        <v>30000</v>
      </c>
      <c r="L12" s="23">
        <f>G12*0.3</f>
        <v>36000</v>
      </c>
      <c r="M12" s="24">
        <f t="shared" ref="M12:P13" si="5">H12*0.3</f>
        <v>45000</v>
      </c>
      <c r="N12" s="24">
        <f t="shared" si="5"/>
        <v>36000</v>
      </c>
      <c r="O12" s="24">
        <f t="shared" si="5"/>
        <v>27000</v>
      </c>
      <c r="P12" s="24">
        <f t="shared" si="5"/>
        <v>9000</v>
      </c>
      <c r="Q12" s="30" t="s">
        <v>43</v>
      </c>
      <c r="R12" s="6" t="s">
        <v>49</v>
      </c>
    </row>
    <row r="13" spans="1:18" x14ac:dyDescent="0.35">
      <c r="A13" s="12" t="s">
        <v>14</v>
      </c>
      <c r="B13" s="6" t="s">
        <v>38</v>
      </c>
      <c r="C13" s="6">
        <v>308403</v>
      </c>
      <c r="D13" s="6">
        <v>62238</v>
      </c>
      <c r="E13" s="6">
        <v>1485</v>
      </c>
      <c r="F13" s="16">
        <v>30</v>
      </c>
      <c r="G13" s="20">
        <v>99996</v>
      </c>
      <c r="H13" s="19">
        <v>99996</v>
      </c>
      <c r="I13" s="19">
        <v>99996</v>
      </c>
      <c r="J13" s="19">
        <v>99996</v>
      </c>
      <c r="K13" s="26">
        <v>49998</v>
      </c>
      <c r="L13" s="23">
        <f>G13*0.3</f>
        <v>29998.799999999999</v>
      </c>
      <c r="M13" s="24">
        <f t="shared" si="5"/>
        <v>29998.799999999999</v>
      </c>
      <c r="N13" s="24">
        <f t="shared" si="5"/>
        <v>29998.799999999999</v>
      </c>
      <c r="O13" s="24">
        <f t="shared" si="5"/>
        <v>29998.799999999999</v>
      </c>
      <c r="P13" s="24">
        <f t="shared" si="5"/>
        <v>14999.4</v>
      </c>
      <c r="Q13" s="30" t="s">
        <v>43</v>
      </c>
      <c r="R13" s="6" t="s">
        <v>49</v>
      </c>
    </row>
    <row r="14" spans="1:18" x14ac:dyDescent="0.35">
      <c r="A14" s="11" t="s">
        <v>15</v>
      </c>
      <c r="B14" s="6" t="s">
        <v>38</v>
      </c>
      <c r="C14" s="6">
        <v>3363</v>
      </c>
      <c r="D14" s="6">
        <v>2184</v>
      </c>
      <c r="E14" s="6">
        <v>1392</v>
      </c>
      <c r="F14" s="16">
        <v>65</v>
      </c>
      <c r="G14" s="61" t="s">
        <v>35</v>
      </c>
      <c r="H14" s="62"/>
      <c r="I14" s="62"/>
      <c r="J14" s="62"/>
      <c r="K14" s="62"/>
      <c r="L14" s="67" t="s">
        <v>35</v>
      </c>
      <c r="M14" s="68"/>
      <c r="N14" s="68"/>
      <c r="O14" s="68"/>
      <c r="P14" s="68"/>
      <c r="Q14" s="30" t="s">
        <v>43</v>
      </c>
      <c r="R14" s="6" t="s">
        <v>49</v>
      </c>
    </row>
    <row r="15" spans="1:18" x14ac:dyDescent="0.35">
      <c r="A15" s="11" t="s">
        <v>16</v>
      </c>
      <c r="B15" s="6" t="s">
        <v>37</v>
      </c>
      <c r="C15" s="6">
        <v>1610886</v>
      </c>
      <c r="D15" s="6">
        <v>1402569</v>
      </c>
      <c r="E15" s="6">
        <v>51324</v>
      </c>
      <c r="F15" s="16">
        <v>87</v>
      </c>
      <c r="G15" s="61" t="s">
        <v>35</v>
      </c>
      <c r="H15" s="62"/>
      <c r="I15" s="62"/>
      <c r="J15" s="62"/>
      <c r="K15" s="62"/>
      <c r="L15" s="67" t="s">
        <v>35</v>
      </c>
      <c r="M15" s="68"/>
      <c r="N15" s="68"/>
      <c r="O15" s="68"/>
      <c r="P15" s="68"/>
      <c r="Q15" s="30" t="s">
        <v>40</v>
      </c>
      <c r="R15" s="6" t="s">
        <v>49</v>
      </c>
    </row>
    <row r="16" spans="1:18" x14ac:dyDescent="0.35">
      <c r="A16" s="11" t="s">
        <v>17</v>
      </c>
      <c r="B16" s="6" t="s">
        <v>37</v>
      </c>
      <c r="C16" s="6">
        <v>4500</v>
      </c>
      <c r="D16" s="6">
        <v>2415</v>
      </c>
      <c r="E16" s="6">
        <v>1557</v>
      </c>
      <c r="F16" s="16">
        <v>54</v>
      </c>
      <c r="G16" s="61" t="s">
        <v>35</v>
      </c>
      <c r="H16" s="62"/>
      <c r="I16" s="62"/>
      <c r="J16" s="62"/>
      <c r="K16" s="62"/>
      <c r="L16" s="67" t="s">
        <v>35</v>
      </c>
      <c r="M16" s="68"/>
      <c r="N16" s="68"/>
      <c r="O16" s="68"/>
      <c r="P16" s="68"/>
      <c r="Q16" s="30" t="s">
        <v>41</v>
      </c>
      <c r="R16" s="6" t="s">
        <v>49</v>
      </c>
    </row>
    <row r="17" spans="1:18" x14ac:dyDescent="0.35">
      <c r="A17" s="12" t="s">
        <v>18</v>
      </c>
      <c r="B17" s="6" t="s">
        <v>37</v>
      </c>
      <c r="C17" s="6">
        <v>4503012</v>
      </c>
      <c r="D17" s="6">
        <v>513078</v>
      </c>
      <c r="E17" s="6">
        <v>133317</v>
      </c>
      <c r="F17" s="16">
        <v>20</v>
      </c>
      <c r="G17" s="20">
        <v>1500000</v>
      </c>
      <c r="H17" s="19">
        <v>1500000</v>
      </c>
      <c r="I17" s="19">
        <v>900000</v>
      </c>
      <c r="J17" s="19">
        <v>900000</v>
      </c>
      <c r="K17" s="26">
        <v>549996</v>
      </c>
      <c r="L17" s="23">
        <f>G17*0.2</f>
        <v>300000</v>
      </c>
      <c r="M17" s="24">
        <f t="shared" ref="M17:P17" si="6">H17*0.2</f>
        <v>300000</v>
      </c>
      <c r="N17" s="24">
        <f t="shared" si="6"/>
        <v>180000</v>
      </c>
      <c r="O17" s="24">
        <f t="shared" si="6"/>
        <v>180000</v>
      </c>
      <c r="P17" s="24">
        <f t="shared" si="6"/>
        <v>109999.20000000001</v>
      </c>
      <c r="Q17" s="30" t="s">
        <v>45</v>
      </c>
      <c r="R17" s="6" t="s">
        <v>49</v>
      </c>
    </row>
    <row r="18" spans="1:18" x14ac:dyDescent="0.35">
      <c r="A18" s="12" t="s">
        <v>19</v>
      </c>
      <c r="B18" s="6" t="s">
        <v>37</v>
      </c>
      <c r="C18" s="6">
        <v>40155</v>
      </c>
      <c r="D18" s="6">
        <v>11019</v>
      </c>
      <c r="E18" s="6">
        <v>2943</v>
      </c>
      <c r="F18" s="16">
        <v>40</v>
      </c>
      <c r="G18" s="20">
        <v>9000</v>
      </c>
      <c r="H18" s="19">
        <v>6000</v>
      </c>
      <c r="I18" s="19">
        <v>6000</v>
      </c>
      <c r="J18" s="19">
        <v>4998</v>
      </c>
      <c r="K18" s="26">
        <v>1998</v>
      </c>
      <c r="L18" s="23">
        <f>G18*0.4</f>
        <v>3600</v>
      </c>
      <c r="M18" s="24">
        <f t="shared" ref="M18:P18" si="7">H18*0.4</f>
        <v>2400</v>
      </c>
      <c r="N18" s="24">
        <f t="shared" si="7"/>
        <v>2400</v>
      </c>
      <c r="O18" s="24">
        <f t="shared" si="7"/>
        <v>1999.2</v>
      </c>
      <c r="P18" s="24">
        <f t="shared" si="7"/>
        <v>799.2</v>
      </c>
      <c r="Q18" s="30" t="s">
        <v>45</v>
      </c>
      <c r="R18" s="6" t="s">
        <v>49</v>
      </c>
    </row>
    <row r="19" spans="1:18" ht="15" thickBot="1" x14ac:dyDescent="0.4">
      <c r="A19" s="13" t="s">
        <v>20</v>
      </c>
      <c r="B19" s="14" t="s">
        <v>37</v>
      </c>
      <c r="C19" s="14">
        <v>3453</v>
      </c>
      <c r="D19" s="14">
        <v>2313</v>
      </c>
      <c r="E19" s="14">
        <v>1434</v>
      </c>
      <c r="F19" s="17">
        <v>67</v>
      </c>
      <c r="G19" s="63" t="s">
        <v>35</v>
      </c>
      <c r="H19" s="64"/>
      <c r="I19" s="64"/>
      <c r="J19" s="64"/>
      <c r="K19" s="64"/>
      <c r="L19" s="69" t="s">
        <v>35</v>
      </c>
      <c r="M19" s="70"/>
      <c r="N19" s="70"/>
      <c r="O19" s="70"/>
      <c r="P19" s="70"/>
      <c r="Q19" s="31" t="s">
        <v>46</v>
      </c>
      <c r="R19" s="6" t="s">
        <v>49</v>
      </c>
    </row>
    <row r="20" spans="1:18" x14ac:dyDescent="0.35">
      <c r="D20">
        <f>SUM(D3:D19)</f>
        <v>8130195</v>
      </c>
    </row>
    <row r="21" spans="1:18" x14ac:dyDescent="0.35">
      <c r="A21" s="11" t="s">
        <v>4</v>
      </c>
      <c r="C21" s="29"/>
    </row>
    <row r="22" spans="1:18" x14ac:dyDescent="0.35">
      <c r="A22" s="12" t="s">
        <v>5</v>
      </c>
      <c r="C22" s="29"/>
    </row>
    <row r="23" spans="1:18" x14ac:dyDescent="0.35">
      <c r="A23" s="12" t="s">
        <v>6</v>
      </c>
      <c r="C23" s="29"/>
    </row>
    <row r="24" spans="1:18" x14ac:dyDescent="0.35">
      <c r="A24" s="12" t="s">
        <v>7</v>
      </c>
      <c r="C24" s="29"/>
    </row>
    <row r="25" spans="1:18" x14ac:dyDescent="0.35">
      <c r="A25" s="11" t="s">
        <v>8</v>
      </c>
      <c r="C25" s="29"/>
    </row>
    <row r="26" spans="1:18" x14ac:dyDescent="0.35">
      <c r="A26" s="12" t="s">
        <v>9</v>
      </c>
      <c r="C26" s="29"/>
    </row>
    <row r="27" spans="1:18" x14ac:dyDescent="0.35">
      <c r="A27" s="57" t="s">
        <v>10</v>
      </c>
      <c r="C27" s="29"/>
    </row>
    <row r="28" spans="1:18" x14ac:dyDescent="0.35">
      <c r="A28" s="12" t="s">
        <v>11</v>
      </c>
    </row>
    <row r="29" spans="1:18" x14ac:dyDescent="0.35">
      <c r="A29" s="11" t="s">
        <v>12</v>
      </c>
    </row>
    <row r="30" spans="1:18" x14ac:dyDescent="0.35">
      <c r="A30" s="12" t="s">
        <v>13</v>
      </c>
    </row>
    <row r="31" spans="1:18" x14ac:dyDescent="0.35">
      <c r="A31" s="57" t="s">
        <v>14</v>
      </c>
    </row>
    <row r="32" spans="1:18" x14ac:dyDescent="0.35">
      <c r="A32" s="57" t="s">
        <v>15</v>
      </c>
    </row>
    <row r="33" spans="1:1" x14ac:dyDescent="0.35">
      <c r="A33" s="11" t="s">
        <v>16</v>
      </c>
    </row>
    <row r="34" spans="1:1" x14ac:dyDescent="0.35">
      <c r="A34" s="57" t="s">
        <v>17</v>
      </c>
    </row>
    <row r="35" spans="1:1" x14ac:dyDescent="0.35">
      <c r="A35" s="12" t="s">
        <v>18</v>
      </c>
    </row>
    <row r="36" spans="1:1" x14ac:dyDescent="0.35">
      <c r="A36" s="12" t="s">
        <v>19</v>
      </c>
    </row>
    <row r="37" spans="1:1" ht="15" thickBot="1" x14ac:dyDescent="0.4">
      <c r="A37" s="13" t="s">
        <v>20</v>
      </c>
    </row>
  </sheetData>
  <mergeCells count="19">
    <mergeCell ref="A1:F1"/>
    <mergeCell ref="G3:K3"/>
    <mergeCell ref="G7:K7"/>
    <mergeCell ref="G11:K11"/>
    <mergeCell ref="L1:P1"/>
    <mergeCell ref="L3:P3"/>
    <mergeCell ref="L7:P7"/>
    <mergeCell ref="L11:P11"/>
    <mergeCell ref="R1:R2"/>
    <mergeCell ref="G14:K14"/>
    <mergeCell ref="G15:K15"/>
    <mergeCell ref="G16:K16"/>
    <mergeCell ref="G19:K19"/>
    <mergeCell ref="G1:K1"/>
    <mergeCell ref="L14:P14"/>
    <mergeCell ref="L15:P15"/>
    <mergeCell ref="L16:P16"/>
    <mergeCell ref="L19:P19"/>
    <mergeCell ref="Q1:Q2"/>
  </mergeCells>
  <pageMargins left="0.7" right="0.7" top="0.75" bottom="0.75" header="0.3" footer="0.3"/>
  <pageSetup orientation="portrait" r:id="rId1"/>
  <headerFooter>
    <oddFooter>&amp;L_x000D_&amp;1#&amp;"Aptos"&amp;7&amp;K000000 C2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3D76-B534-4AD9-8386-2909265E220E}">
  <dimension ref="A1:C18"/>
  <sheetViews>
    <sheetView tabSelected="1" workbookViewId="0">
      <selection activeCell="E14" sqref="E14"/>
    </sheetView>
  </sheetViews>
  <sheetFormatPr defaultRowHeight="14.5" x14ac:dyDescent="0.35"/>
  <cols>
    <col min="1" max="1" width="17.6328125" bestFit="1" customWidth="1"/>
    <col min="2" max="2" width="10.36328125" bestFit="1" customWidth="1"/>
    <col min="3" max="3" width="14.08984375" customWidth="1"/>
  </cols>
  <sheetData>
    <row r="1" spans="1:3" ht="15.5" x14ac:dyDescent="0.35">
      <c r="A1" s="9" t="s">
        <v>0</v>
      </c>
      <c r="B1" s="58" t="s">
        <v>47</v>
      </c>
      <c r="C1" t="s">
        <v>128</v>
      </c>
    </row>
    <row r="2" spans="1:3" ht="14.5" customHeight="1" x14ac:dyDescent="0.35">
      <c r="A2" s="90" t="s">
        <v>4</v>
      </c>
      <c r="B2" s="30" t="s">
        <v>44</v>
      </c>
      <c r="C2" s="6" t="s">
        <v>37</v>
      </c>
    </row>
    <row r="3" spans="1:3" x14ac:dyDescent="0.35">
      <c r="A3" s="90" t="s">
        <v>5</v>
      </c>
      <c r="B3" s="30" t="s">
        <v>45</v>
      </c>
      <c r="C3" s="6" t="s">
        <v>38</v>
      </c>
    </row>
    <row r="4" spans="1:3" x14ac:dyDescent="0.35">
      <c r="A4" s="90" t="s">
        <v>6</v>
      </c>
      <c r="B4" s="30" t="s">
        <v>44</v>
      </c>
      <c r="C4" s="6" t="s">
        <v>37</v>
      </c>
    </row>
    <row r="5" spans="1:3" x14ac:dyDescent="0.35">
      <c r="A5" s="90" t="s">
        <v>7</v>
      </c>
      <c r="B5" s="30" t="s">
        <v>45</v>
      </c>
      <c r="C5" s="6" t="s">
        <v>38</v>
      </c>
    </row>
    <row r="6" spans="1:3" x14ac:dyDescent="0.35">
      <c r="A6" s="90" t="s">
        <v>8</v>
      </c>
      <c r="B6" s="30" t="s">
        <v>44</v>
      </c>
      <c r="C6" s="6" t="s">
        <v>38</v>
      </c>
    </row>
    <row r="7" spans="1:3" x14ac:dyDescent="0.35">
      <c r="A7" s="90" t="s">
        <v>9</v>
      </c>
      <c r="B7" s="30" t="s">
        <v>45</v>
      </c>
      <c r="C7" s="6" t="s">
        <v>38</v>
      </c>
    </row>
    <row r="8" spans="1:3" x14ac:dyDescent="0.35">
      <c r="A8" s="90" t="s">
        <v>10</v>
      </c>
      <c r="B8" s="30" t="s">
        <v>45</v>
      </c>
      <c r="C8" s="6" t="s">
        <v>37</v>
      </c>
    </row>
    <row r="9" spans="1:3" x14ac:dyDescent="0.35">
      <c r="A9" s="88" t="s">
        <v>11</v>
      </c>
      <c r="B9" s="30" t="s">
        <v>42</v>
      </c>
      <c r="C9" s="6" t="s">
        <v>125</v>
      </c>
    </row>
    <row r="10" spans="1:3" x14ac:dyDescent="0.35">
      <c r="A10" s="88" t="s">
        <v>12</v>
      </c>
      <c r="B10" s="30" t="s">
        <v>43</v>
      </c>
      <c r="C10" s="6" t="s">
        <v>125</v>
      </c>
    </row>
    <row r="11" spans="1:3" x14ac:dyDescent="0.35">
      <c r="A11" s="88" t="s">
        <v>13</v>
      </c>
      <c r="B11" s="30" t="s">
        <v>43</v>
      </c>
      <c r="C11" s="6" t="s">
        <v>125</v>
      </c>
    </row>
    <row r="12" spans="1:3" x14ac:dyDescent="0.35">
      <c r="A12" s="88" t="s">
        <v>14</v>
      </c>
      <c r="B12" s="30" t="s">
        <v>43</v>
      </c>
      <c r="C12" s="6" t="s">
        <v>125</v>
      </c>
    </row>
    <row r="13" spans="1:3" x14ac:dyDescent="0.35">
      <c r="A13" s="57" t="s">
        <v>15</v>
      </c>
      <c r="B13" s="30" t="s">
        <v>43</v>
      </c>
      <c r="C13" s="91" t="s">
        <v>127</v>
      </c>
    </row>
    <row r="14" spans="1:3" x14ac:dyDescent="0.35">
      <c r="A14" s="88" t="s">
        <v>16</v>
      </c>
      <c r="B14" s="30" t="s">
        <v>40</v>
      </c>
      <c r="C14" s="6" t="s">
        <v>126</v>
      </c>
    </row>
    <row r="15" spans="1:3" x14ac:dyDescent="0.35">
      <c r="A15" s="88" t="s">
        <v>17</v>
      </c>
      <c r="B15" s="30" t="s">
        <v>41</v>
      </c>
      <c r="C15" s="6" t="s">
        <v>126</v>
      </c>
    </row>
    <row r="16" spans="1:3" x14ac:dyDescent="0.35">
      <c r="A16" s="88" t="s">
        <v>18</v>
      </c>
      <c r="B16" s="30" t="s">
        <v>45</v>
      </c>
      <c r="C16" s="6" t="s">
        <v>126</v>
      </c>
    </row>
    <row r="17" spans="1:3" x14ac:dyDescent="0.35">
      <c r="A17" s="88" t="s">
        <v>19</v>
      </c>
      <c r="B17" s="30" t="s">
        <v>45</v>
      </c>
      <c r="C17" s="6" t="s">
        <v>126</v>
      </c>
    </row>
    <row r="18" spans="1:3" ht="15" thickBot="1" x14ac:dyDescent="0.4">
      <c r="A18" s="89" t="s">
        <v>20</v>
      </c>
      <c r="B18" s="31" t="s">
        <v>46</v>
      </c>
      <c r="C18" s="6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AA8B-7D94-4FD6-B4E2-E7A069415F3A}">
  <dimension ref="A1:R73"/>
  <sheetViews>
    <sheetView zoomScale="80" zoomScaleNormal="80" workbookViewId="0">
      <selection activeCell="B11" sqref="B11:R11"/>
    </sheetView>
  </sheetViews>
  <sheetFormatPr defaultRowHeight="16" customHeight="1" x14ac:dyDescent="0.35"/>
  <cols>
    <col min="1" max="1" width="13.81640625" style="35" bestFit="1" customWidth="1"/>
    <col min="2" max="3" width="11.26953125" style="35" bestFit="1" customWidth="1"/>
    <col min="4" max="4" width="11.7265625" style="35" bestFit="1" customWidth="1"/>
    <col min="5" max="5" width="15" style="35" bestFit="1" customWidth="1"/>
    <col min="6" max="6" width="8.54296875" style="35" bestFit="1" customWidth="1"/>
    <col min="7" max="7" width="8.453125" style="35" bestFit="1" customWidth="1"/>
    <col min="8" max="8" width="8.26953125" style="35" bestFit="1" customWidth="1"/>
    <col min="9" max="9" width="15.453125" style="35" bestFit="1" customWidth="1"/>
    <col min="10" max="10" width="17.90625" style="35" bestFit="1" customWidth="1"/>
    <col min="11" max="11" width="8.6328125" style="35" bestFit="1" customWidth="1"/>
    <col min="12" max="12" width="7.1796875" style="35" bestFit="1" customWidth="1"/>
    <col min="13" max="13" width="9.26953125" style="35" bestFit="1" customWidth="1"/>
    <col min="14" max="14" width="11.7265625" style="35" bestFit="1" customWidth="1"/>
    <col min="15" max="15" width="10.81640625" style="35" bestFit="1" customWidth="1"/>
    <col min="16" max="16" width="12.7265625" style="35" bestFit="1" customWidth="1"/>
    <col min="17" max="17" width="12.90625" style="35" bestFit="1" customWidth="1"/>
    <col min="18" max="18" width="10.08984375" style="35" bestFit="1" customWidth="1"/>
    <col min="19" max="16384" width="8.7265625" style="35"/>
  </cols>
  <sheetData>
    <row r="1" spans="1:18" ht="16" customHeight="1" x14ac:dyDescent="0.35">
      <c r="A1" s="82" t="s">
        <v>54</v>
      </c>
      <c r="B1" s="83"/>
      <c r="C1" s="83"/>
      <c r="D1" s="83"/>
      <c r="E1" s="84"/>
    </row>
    <row r="2" spans="1:18" ht="16" customHeight="1" x14ac:dyDescent="0.35">
      <c r="A2" s="87" t="s">
        <v>56</v>
      </c>
      <c r="B2" s="85" t="s">
        <v>55</v>
      </c>
      <c r="C2" s="85"/>
      <c r="D2" s="85"/>
      <c r="E2" s="86"/>
    </row>
    <row r="3" spans="1:18" ht="16" customHeight="1" x14ac:dyDescent="0.35">
      <c r="A3" s="87"/>
      <c r="B3" s="32" t="s">
        <v>50</v>
      </c>
      <c r="C3" s="32" t="s">
        <v>51</v>
      </c>
      <c r="D3" s="32" t="s">
        <v>52</v>
      </c>
      <c r="E3" s="38" t="s">
        <v>53</v>
      </c>
    </row>
    <row r="4" spans="1:18" ht="16" customHeight="1" x14ac:dyDescent="0.35">
      <c r="A4" s="39" t="s">
        <v>57</v>
      </c>
      <c r="B4" s="33">
        <v>207145455</v>
      </c>
      <c r="C4" s="33">
        <v>68905300</v>
      </c>
      <c r="D4" s="33">
        <v>15510273</v>
      </c>
      <c r="E4" s="40">
        <v>28525498</v>
      </c>
    </row>
    <row r="5" spans="1:18" ht="16" customHeight="1" x14ac:dyDescent="0.35">
      <c r="A5" s="39" t="s">
        <v>58</v>
      </c>
      <c r="B5" s="33">
        <v>309831114</v>
      </c>
      <c r="C5" s="33">
        <v>63183411</v>
      </c>
      <c r="D5" s="33">
        <v>12446577</v>
      </c>
      <c r="E5" s="40">
        <v>27771947</v>
      </c>
    </row>
    <row r="6" spans="1:18" ht="16" customHeight="1" x14ac:dyDescent="0.35">
      <c r="A6" s="39" t="s">
        <v>59</v>
      </c>
      <c r="B6" s="33">
        <v>159868</v>
      </c>
      <c r="C6" s="33">
        <v>93954</v>
      </c>
      <c r="D6" s="33">
        <v>81174</v>
      </c>
      <c r="E6" s="40">
        <v>4701</v>
      </c>
    </row>
    <row r="7" spans="1:18" ht="16" customHeight="1" x14ac:dyDescent="0.35">
      <c r="A7" s="39" t="s">
        <v>62</v>
      </c>
      <c r="B7" s="33">
        <v>99.92</v>
      </c>
      <c r="C7" s="33">
        <v>99.83</v>
      </c>
      <c r="D7" s="33">
        <v>99.67</v>
      </c>
      <c r="E7" s="40">
        <v>99.85</v>
      </c>
    </row>
    <row r="8" spans="1:18" ht="16" customHeight="1" x14ac:dyDescent="0.35">
      <c r="A8" s="39" t="s">
        <v>60</v>
      </c>
      <c r="B8" s="33">
        <v>2091.65</v>
      </c>
      <c r="C8" s="33">
        <v>1622.32</v>
      </c>
      <c r="D8" s="33">
        <v>838.77</v>
      </c>
      <c r="E8" s="40">
        <v>1105.6199999999999</v>
      </c>
    </row>
    <row r="9" spans="1:18" ht="16" customHeight="1" thickBot="1" x14ac:dyDescent="0.4">
      <c r="A9" s="41" t="s">
        <v>61</v>
      </c>
      <c r="B9" s="42">
        <v>1800.73</v>
      </c>
      <c r="C9" s="42">
        <v>1802.25</v>
      </c>
      <c r="D9" s="42">
        <v>1514.44</v>
      </c>
      <c r="E9" s="43">
        <v>1619.46</v>
      </c>
    </row>
    <row r="10" spans="1:18" ht="16" customHeight="1" thickBot="1" x14ac:dyDescent="0.4"/>
    <row r="11" spans="1:18" ht="16" customHeight="1" x14ac:dyDescent="0.35">
      <c r="A11" s="44" t="s">
        <v>83</v>
      </c>
      <c r="B11" s="78" t="s">
        <v>50</v>
      </c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9"/>
    </row>
    <row r="12" spans="1:18" ht="16" customHeight="1" x14ac:dyDescent="0.35">
      <c r="A12" s="45" t="s">
        <v>63</v>
      </c>
      <c r="B12" s="34" t="s">
        <v>64</v>
      </c>
      <c r="C12" s="34" t="s">
        <v>65</v>
      </c>
      <c r="D12" s="34" t="s">
        <v>57</v>
      </c>
      <c r="E12" s="34" t="s">
        <v>66</v>
      </c>
      <c r="F12" s="34" t="s">
        <v>67</v>
      </c>
      <c r="G12" s="34" t="s">
        <v>68</v>
      </c>
      <c r="H12" s="34" t="s">
        <v>69</v>
      </c>
      <c r="I12" s="34" t="s">
        <v>70</v>
      </c>
      <c r="J12" s="34" t="s">
        <v>71</v>
      </c>
      <c r="K12" s="34" t="s">
        <v>72</v>
      </c>
      <c r="L12" s="34" t="s">
        <v>73</v>
      </c>
      <c r="M12" s="34" t="s">
        <v>74</v>
      </c>
      <c r="N12" s="34" t="s">
        <v>75</v>
      </c>
      <c r="O12" s="34" t="s">
        <v>76</v>
      </c>
      <c r="P12" s="34" t="s">
        <v>77</v>
      </c>
      <c r="Q12" s="34" t="s">
        <v>78</v>
      </c>
      <c r="R12" s="46" t="s">
        <v>79</v>
      </c>
    </row>
    <row r="13" spans="1:18" ht="16" customHeight="1" x14ac:dyDescent="0.35">
      <c r="A13" s="47">
        <v>2048</v>
      </c>
      <c r="B13" s="37">
        <v>33299</v>
      </c>
      <c r="C13" s="37">
        <v>264024</v>
      </c>
      <c r="D13" s="37">
        <v>19363051</v>
      </c>
      <c r="E13" s="37">
        <v>99.83</v>
      </c>
      <c r="F13" s="37">
        <v>120854</v>
      </c>
      <c r="G13" s="37">
        <v>394926</v>
      </c>
      <c r="H13" s="37">
        <v>613562</v>
      </c>
      <c r="I13" s="37">
        <v>80.3</v>
      </c>
      <c r="J13" s="37">
        <v>0</v>
      </c>
      <c r="K13" s="37">
        <v>9</v>
      </c>
      <c r="L13" s="37">
        <v>0</v>
      </c>
      <c r="M13" s="37">
        <v>196</v>
      </c>
      <c r="N13" s="37">
        <v>0</v>
      </c>
      <c r="O13" s="37">
        <v>0</v>
      </c>
      <c r="P13" s="37" t="s">
        <v>80</v>
      </c>
      <c r="Q13" s="37">
        <v>13925</v>
      </c>
      <c r="R13" s="48" t="s">
        <v>81</v>
      </c>
    </row>
    <row r="14" spans="1:18" ht="16" customHeight="1" x14ac:dyDescent="0.35">
      <c r="A14" s="47">
        <v>6144</v>
      </c>
      <c r="B14" s="37">
        <v>128782</v>
      </c>
      <c r="C14" s="37">
        <v>3493698</v>
      </c>
      <c r="D14" s="37">
        <v>200644986</v>
      </c>
      <c r="E14" s="37">
        <v>99.94</v>
      </c>
      <c r="F14" s="37">
        <v>46613</v>
      </c>
      <c r="G14" s="37">
        <v>139839</v>
      </c>
      <c r="H14" s="37">
        <v>641388</v>
      </c>
      <c r="I14" s="37">
        <v>92.73</v>
      </c>
      <c r="J14" s="37">
        <v>239</v>
      </c>
      <c r="K14" s="37">
        <v>139</v>
      </c>
      <c r="L14" s="37">
        <v>0</v>
      </c>
      <c r="M14" s="37">
        <v>175</v>
      </c>
      <c r="N14" s="37">
        <v>0</v>
      </c>
      <c r="O14" s="37">
        <v>0</v>
      </c>
      <c r="P14" s="37" t="s">
        <v>80</v>
      </c>
      <c r="Q14" s="37">
        <v>46613</v>
      </c>
      <c r="R14" s="48" t="s">
        <v>110</v>
      </c>
    </row>
    <row r="15" spans="1:18" ht="16" customHeight="1" x14ac:dyDescent="0.35">
      <c r="A15" s="49"/>
      <c r="R15" s="50"/>
    </row>
    <row r="16" spans="1:18" ht="16" customHeight="1" x14ac:dyDescent="0.35">
      <c r="A16" s="80" t="s">
        <v>103</v>
      </c>
      <c r="B16" s="81"/>
      <c r="C16" s="81"/>
      <c r="D16" s="81"/>
      <c r="E16" s="81"/>
      <c r="F16" s="81"/>
      <c r="G16" s="81"/>
      <c r="H16" s="81"/>
      <c r="J16" s="81" t="s">
        <v>104</v>
      </c>
      <c r="K16" s="81"/>
      <c r="L16" s="81"/>
      <c r="M16" s="81"/>
      <c r="N16" s="81"/>
      <c r="R16" s="50"/>
    </row>
    <row r="17" spans="1:18" ht="16" customHeight="1" x14ac:dyDescent="0.35">
      <c r="A17" s="51" t="s">
        <v>84</v>
      </c>
      <c r="B17" s="36" t="s">
        <v>85</v>
      </c>
      <c r="C17" s="36" t="s">
        <v>86</v>
      </c>
      <c r="D17" s="36" t="s">
        <v>87</v>
      </c>
      <c r="E17" s="36" t="s">
        <v>88</v>
      </c>
      <c r="F17" s="36" t="s">
        <v>89</v>
      </c>
      <c r="G17" s="36" t="s">
        <v>90</v>
      </c>
      <c r="H17" s="36" t="s">
        <v>91</v>
      </c>
      <c r="J17" s="36" t="s">
        <v>105</v>
      </c>
      <c r="K17" s="36" t="s">
        <v>106</v>
      </c>
      <c r="L17" s="36" t="s">
        <v>124</v>
      </c>
      <c r="M17" s="36" t="s">
        <v>107</v>
      </c>
      <c r="N17" s="36" t="s">
        <v>108</v>
      </c>
      <c r="O17" s="56" t="s">
        <v>75</v>
      </c>
      <c r="P17" s="56" t="s">
        <v>76</v>
      </c>
      <c r="Q17" s="56" t="s">
        <v>78</v>
      </c>
      <c r="R17" s="50"/>
    </row>
    <row r="18" spans="1:18" ht="16" customHeight="1" x14ac:dyDescent="0.35">
      <c r="A18" s="47">
        <v>419430453</v>
      </c>
      <c r="B18" s="37" t="s">
        <v>111</v>
      </c>
      <c r="C18" s="37" t="s">
        <v>93</v>
      </c>
      <c r="D18" s="37">
        <v>60817408</v>
      </c>
      <c r="E18" s="37">
        <v>1154152</v>
      </c>
      <c r="F18" s="37" t="s">
        <v>94</v>
      </c>
      <c r="G18" s="37">
        <v>14568</v>
      </c>
      <c r="H18" s="37">
        <v>280</v>
      </c>
      <c r="J18" s="37">
        <v>0</v>
      </c>
      <c r="K18" s="37" t="s">
        <v>109</v>
      </c>
      <c r="L18" s="37">
        <v>4105</v>
      </c>
      <c r="M18" s="37">
        <v>659949</v>
      </c>
      <c r="N18" s="37">
        <v>655831.446</v>
      </c>
      <c r="O18" s="56">
        <v>0</v>
      </c>
      <c r="P18" s="56">
        <v>0</v>
      </c>
      <c r="Q18" s="56">
        <v>23731</v>
      </c>
      <c r="R18" s="50"/>
    </row>
    <row r="19" spans="1:18" ht="16" customHeight="1" x14ac:dyDescent="0.35">
      <c r="A19" s="47">
        <v>419430454</v>
      </c>
      <c r="B19" s="37" t="s">
        <v>112</v>
      </c>
      <c r="C19" s="37" t="s">
        <v>96</v>
      </c>
      <c r="D19" s="37">
        <v>268435456</v>
      </c>
      <c r="E19" s="37">
        <v>3147384</v>
      </c>
      <c r="F19" s="37" t="s">
        <v>97</v>
      </c>
      <c r="G19" s="37">
        <v>28254</v>
      </c>
      <c r="H19" s="37">
        <v>37282</v>
      </c>
      <c r="J19" s="37">
        <v>1</v>
      </c>
      <c r="K19" s="37" t="s">
        <v>109</v>
      </c>
      <c r="L19" s="37">
        <v>3859</v>
      </c>
      <c r="M19" s="37">
        <v>659702</v>
      </c>
      <c r="N19" s="37">
        <v>655835.20499999996</v>
      </c>
      <c r="R19" s="50"/>
    </row>
    <row r="20" spans="1:18" ht="16" customHeight="1" x14ac:dyDescent="0.35">
      <c r="A20" s="47">
        <v>419430455</v>
      </c>
      <c r="B20" s="37" t="s">
        <v>113</v>
      </c>
      <c r="C20" s="37" t="s">
        <v>99</v>
      </c>
      <c r="D20" s="37">
        <v>68157440</v>
      </c>
      <c r="E20" s="37">
        <v>1</v>
      </c>
      <c r="F20" s="37" t="s">
        <v>100</v>
      </c>
      <c r="G20" s="37">
        <v>16640</v>
      </c>
      <c r="H20" s="37">
        <v>0</v>
      </c>
      <c r="J20" s="37">
        <v>2</v>
      </c>
      <c r="K20" s="37" t="s">
        <v>109</v>
      </c>
      <c r="L20" s="37">
        <v>2147</v>
      </c>
      <c r="M20" s="37">
        <v>657990</v>
      </c>
      <c r="N20" s="37">
        <v>655836.30799999996</v>
      </c>
      <c r="R20" s="50"/>
    </row>
    <row r="21" spans="1:18" ht="16" customHeight="1" x14ac:dyDescent="0.35">
      <c r="A21" s="47">
        <v>419430456</v>
      </c>
      <c r="B21" s="37" t="s">
        <v>114</v>
      </c>
      <c r="C21" s="37" t="s">
        <v>102</v>
      </c>
      <c r="D21" s="37">
        <v>4145020928</v>
      </c>
      <c r="E21" s="37">
        <v>1</v>
      </c>
      <c r="F21" s="37" t="s">
        <v>100</v>
      </c>
      <c r="G21" s="37">
        <v>1011968</v>
      </c>
      <c r="H21" s="37">
        <v>0</v>
      </c>
      <c r="J21" s="37">
        <v>3</v>
      </c>
      <c r="K21" s="37" t="s">
        <v>109</v>
      </c>
      <c r="L21" s="37">
        <v>493</v>
      </c>
      <c r="M21" s="37">
        <v>656337</v>
      </c>
      <c r="N21" s="37">
        <v>655843.54299999995</v>
      </c>
      <c r="R21" s="50"/>
    </row>
    <row r="22" spans="1:18" ht="16" customHeight="1" x14ac:dyDescent="0.35">
      <c r="A22" s="49"/>
      <c r="J22" s="37">
        <v>4</v>
      </c>
      <c r="K22" s="37" t="s">
        <v>109</v>
      </c>
      <c r="L22" s="37">
        <v>0</v>
      </c>
      <c r="M22" s="37">
        <v>655844</v>
      </c>
      <c r="N22" s="37">
        <v>655844.22400000005</v>
      </c>
      <c r="R22" s="50"/>
    </row>
    <row r="23" spans="1:18" ht="16" customHeight="1" x14ac:dyDescent="0.35">
      <c r="A23" s="49"/>
      <c r="J23" s="37">
        <v>5</v>
      </c>
      <c r="K23" s="37" t="s">
        <v>109</v>
      </c>
      <c r="L23" s="37">
        <v>0</v>
      </c>
      <c r="M23" s="37">
        <v>655844</v>
      </c>
      <c r="N23" s="37">
        <v>655844.174</v>
      </c>
      <c r="R23" s="50"/>
    </row>
    <row r="24" spans="1:18" ht="16" customHeight="1" x14ac:dyDescent="0.35">
      <c r="A24" s="49"/>
      <c r="J24" s="37">
        <v>6</v>
      </c>
      <c r="K24" s="37" t="s">
        <v>109</v>
      </c>
      <c r="L24" s="37">
        <v>0</v>
      </c>
      <c r="M24" s="37">
        <v>655844</v>
      </c>
      <c r="N24" s="37">
        <v>655844.16500000004</v>
      </c>
      <c r="R24" s="50"/>
    </row>
    <row r="25" spans="1:18" ht="16" customHeight="1" thickBot="1" x14ac:dyDescent="0.4">
      <c r="A25" s="52"/>
      <c r="B25" s="53"/>
      <c r="C25" s="53"/>
      <c r="D25" s="53"/>
      <c r="E25" s="53"/>
      <c r="F25" s="53"/>
      <c r="G25" s="53"/>
      <c r="H25" s="53"/>
      <c r="I25" s="53"/>
      <c r="J25" s="54">
        <v>7</v>
      </c>
      <c r="K25" s="54" t="s">
        <v>109</v>
      </c>
      <c r="L25" s="54">
        <v>0</v>
      </c>
      <c r="M25" s="54">
        <v>655844</v>
      </c>
      <c r="N25" s="54">
        <v>655844.16</v>
      </c>
      <c r="O25" s="53"/>
      <c r="P25" s="53"/>
      <c r="Q25" s="53"/>
      <c r="R25" s="55"/>
    </row>
    <row r="26" spans="1:18" ht="16" customHeight="1" thickBot="1" x14ac:dyDescent="0.4"/>
    <row r="27" spans="1:18" ht="16" customHeight="1" x14ac:dyDescent="0.35">
      <c r="A27" s="44" t="s">
        <v>83</v>
      </c>
      <c r="B27" s="78" t="s">
        <v>51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9"/>
    </row>
    <row r="28" spans="1:18" ht="16" customHeight="1" x14ac:dyDescent="0.35">
      <c r="A28" s="45" t="s">
        <v>63</v>
      </c>
      <c r="B28" s="34" t="s">
        <v>64</v>
      </c>
      <c r="C28" s="34" t="s">
        <v>65</v>
      </c>
      <c r="D28" s="34" t="s">
        <v>57</v>
      </c>
      <c r="E28" s="34" t="s">
        <v>66</v>
      </c>
      <c r="F28" s="34" t="s">
        <v>67</v>
      </c>
      <c r="G28" s="34" t="s">
        <v>68</v>
      </c>
      <c r="H28" s="34" t="s">
        <v>69</v>
      </c>
      <c r="I28" s="34" t="s">
        <v>70</v>
      </c>
      <c r="J28" s="34" t="s">
        <v>71</v>
      </c>
      <c r="K28" s="34" t="s">
        <v>72</v>
      </c>
      <c r="L28" s="34" t="s">
        <v>73</v>
      </c>
      <c r="M28" s="34" t="s">
        <v>74</v>
      </c>
      <c r="N28" s="34" t="s">
        <v>75</v>
      </c>
      <c r="O28" s="34" t="s">
        <v>76</v>
      </c>
      <c r="P28" s="34" t="s">
        <v>77</v>
      </c>
      <c r="Q28" s="34" t="s">
        <v>78</v>
      </c>
      <c r="R28" s="46" t="s">
        <v>79</v>
      </c>
    </row>
    <row r="29" spans="1:18" ht="16" customHeight="1" x14ac:dyDescent="0.35">
      <c r="A29" s="47">
        <v>2048</v>
      </c>
      <c r="B29" s="37">
        <v>2868</v>
      </c>
      <c r="C29" s="37">
        <v>55226</v>
      </c>
      <c r="D29" s="37">
        <v>12440695</v>
      </c>
      <c r="E29" s="37">
        <v>99.98</v>
      </c>
      <c r="F29" s="37">
        <v>32367</v>
      </c>
      <c r="G29" s="37">
        <v>128817</v>
      </c>
      <c r="H29" s="37">
        <v>282593</v>
      </c>
      <c r="I29" s="37">
        <v>88.55</v>
      </c>
      <c r="J29" s="37">
        <v>445</v>
      </c>
      <c r="K29" s="37">
        <v>14</v>
      </c>
      <c r="L29" s="37">
        <v>0</v>
      </c>
      <c r="M29" s="37">
        <v>196</v>
      </c>
      <c r="N29" s="37">
        <v>0</v>
      </c>
      <c r="O29" s="37">
        <v>0</v>
      </c>
      <c r="P29" s="37" t="s">
        <v>80</v>
      </c>
      <c r="Q29" s="37">
        <v>10760</v>
      </c>
      <c r="R29" s="48" t="s">
        <v>81</v>
      </c>
    </row>
    <row r="30" spans="1:18" ht="16" customHeight="1" x14ac:dyDescent="0.35">
      <c r="A30" s="47">
        <v>6144</v>
      </c>
      <c r="B30" s="37">
        <v>113414</v>
      </c>
      <c r="C30" s="37">
        <v>2937267</v>
      </c>
      <c r="D30" s="37">
        <v>58721060</v>
      </c>
      <c r="E30" s="37">
        <v>99.81</v>
      </c>
      <c r="F30" s="37">
        <v>26740</v>
      </c>
      <c r="G30" s="37">
        <v>80220</v>
      </c>
      <c r="H30" s="37">
        <v>205459</v>
      </c>
      <c r="I30" s="37">
        <v>86.99</v>
      </c>
      <c r="J30" s="37">
        <v>705</v>
      </c>
      <c r="K30" s="37">
        <v>179</v>
      </c>
      <c r="L30" s="37">
        <v>0</v>
      </c>
      <c r="M30" s="37">
        <v>196</v>
      </c>
      <c r="N30" s="37">
        <v>0</v>
      </c>
      <c r="O30" s="37">
        <v>0</v>
      </c>
      <c r="P30" s="37" t="s">
        <v>80</v>
      </c>
      <c r="Q30" s="37">
        <v>26740</v>
      </c>
      <c r="R30" s="48" t="s">
        <v>110</v>
      </c>
    </row>
    <row r="31" spans="1:18" ht="16" customHeight="1" x14ac:dyDescent="0.35">
      <c r="A31" s="49"/>
      <c r="R31" s="50"/>
    </row>
    <row r="32" spans="1:18" ht="16" customHeight="1" x14ac:dyDescent="0.35">
      <c r="A32" s="80" t="s">
        <v>103</v>
      </c>
      <c r="B32" s="81"/>
      <c r="C32" s="81"/>
      <c r="D32" s="81"/>
      <c r="E32" s="81"/>
      <c r="F32" s="81"/>
      <c r="G32" s="81"/>
      <c r="H32" s="81"/>
      <c r="J32" s="81" t="s">
        <v>104</v>
      </c>
      <c r="K32" s="81"/>
      <c r="L32" s="81"/>
      <c r="M32" s="81"/>
      <c r="N32" s="81"/>
      <c r="R32" s="50"/>
    </row>
    <row r="33" spans="1:18" ht="16" customHeight="1" x14ac:dyDescent="0.35">
      <c r="A33" s="51" t="s">
        <v>84</v>
      </c>
      <c r="B33" s="36" t="s">
        <v>85</v>
      </c>
      <c r="C33" s="36" t="s">
        <v>86</v>
      </c>
      <c r="D33" s="36" t="s">
        <v>87</v>
      </c>
      <c r="E33" s="36" t="s">
        <v>88</v>
      </c>
      <c r="F33" s="36" t="s">
        <v>89</v>
      </c>
      <c r="G33" s="36" t="s">
        <v>90</v>
      </c>
      <c r="H33" s="36" t="s">
        <v>91</v>
      </c>
      <c r="J33" s="36" t="s">
        <v>105</v>
      </c>
      <c r="K33" s="36" t="s">
        <v>106</v>
      </c>
      <c r="L33" s="36" t="s">
        <v>124</v>
      </c>
      <c r="M33" s="36" t="s">
        <v>107</v>
      </c>
      <c r="N33" s="36" t="s">
        <v>108</v>
      </c>
      <c r="O33" s="56" t="s">
        <v>75</v>
      </c>
      <c r="P33" s="56" t="s">
        <v>76</v>
      </c>
      <c r="Q33" s="56" t="s">
        <v>78</v>
      </c>
      <c r="R33" s="50"/>
    </row>
    <row r="34" spans="1:18" ht="16" customHeight="1" x14ac:dyDescent="0.35">
      <c r="A34" s="47">
        <v>419430457</v>
      </c>
      <c r="B34" s="37" t="s">
        <v>115</v>
      </c>
      <c r="C34" s="37" t="s">
        <v>93</v>
      </c>
      <c r="D34" s="37">
        <v>60817408</v>
      </c>
      <c r="E34" s="37">
        <v>1154152</v>
      </c>
      <c r="F34" s="37" t="s">
        <v>94</v>
      </c>
      <c r="G34" s="37">
        <v>14568</v>
      </c>
      <c r="H34" s="37">
        <v>280</v>
      </c>
      <c r="J34" s="37">
        <v>0</v>
      </c>
      <c r="K34" s="37" t="s">
        <v>109</v>
      </c>
      <c r="L34" s="37">
        <v>4357</v>
      </c>
      <c r="M34" s="37">
        <v>660379</v>
      </c>
      <c r="N34" s="37">
        <v>656009.42299999995</v>
      </c>
      <c r="O34" s="56">
        <v>0</v>
      </c>
      <c r="P34" s="56">
        <v>0</v>
      </c>
      <c r="Q34" s="56">
        <v>16686</v>
      </c>
      <c r="R34" s="50"/>
    </row>
    <row r="35" spans="1:18" ht="16" customHeight="1" x14ac:dyDescent="0.35">
      <c r="A35" s="47">
        <v>419430458</v>
      </c>
      <c r="B35" s="37" t="s">
        <v>116</v>
      </c>
      <c r="C35" s="37" t="s">
        <v>96</v>
      </c>
      <c r="D35" s="37">
        <v>268435456</v>
      </c>
      <c r="E35" s="37">
        <v>3147384</v>
      </c>
      <c r="F35" s="37" t="s">
        <v>97</v>
      </c>
      <c r="G35" s="37">
        <v>22254</v>
      </c>
      <c r="H35" s="37">
        <v>43282</v>
      </c>
      <c r="J35" s="37">
        <v>1</v>
      </c>
      <c r="K35" s="37" t="s">
        <v>109</v>
      </c>
      <c r="L35" s="37">
        <v>3150</v>
      </c>
      <c r="M35" s="37">
        <v>659172</v>
      </c>
      <c r="N35" s="37">
        <v>656018.34900000005</v>
      </c>
      <c r="R35" s="50"/>
    </row>
    <row r="36" spans="1:18" ht="16" customHeight="1" x14ac:dyDescent="0.35">
      <c r="A36" s="47">
        <v>419430459</v>
      </c>
      <c r="B36" s="37" t="s">
        <v>117</v>
      </c>
      <c r="C36" s="37" t="s">
        <v>99</v>
      </c>
      <c r="D36" s="37">
        <v>68157440</v>
      </c>
      <c r="E36" s="37">
        <v>1</v>
      </c>
      <c r="F36" s="37" t="s">
        <v>100</v>
      </c>
      <c r="G36" s="37">
        <v>16640</v>
      </c>
      <c r="H36" s="37">
        <v>0</v>
      </c>
      <c r="J36" s="37">
        <v>2</v>
      </c>
      <c r="K36" s="37" t="s">
        <v>109</v>
      </c>
      <c r="L36" s="37">
        <v>1472</v>
      </c>
      <c r="M36" s="37">
        <v>657492</v>
      </c>
      <c r="N36" s="37">
        <v>656012.4</v>
      </c>
      <c r="R36" s="50"/>
    </row>
    <row r="37" spans="1:18" ht="16" customHeight="1" x14ac:dyDescent="0.35">
      <c r="A37" s="47">
        <v>419430460</v>
      </c>
      <c r="B37" s="37" t="s">
        <v>118</v>
      </c>
      <c r="C37" s="37" t="s">
        <v>102</v>
      </c>
      <c r="D37" s="37">
        <v>4145020928</v>
      </c>
      <c r="E37" s="37">
        <v>1</v>
      </c>
      <c r="F37" s="37" t="s">
        <v>100</v>
      </c>
      <c r="G37" s="37">
        <v>1011968</v>
      </c>
      <c r="H37" s="37">
        <v>0</v>
      </c>
      <c r="J37" s="37">
        <v>3</v>
      </c>
      <c r="K37" s="37" t="s">
        <v>109</v>
      </c>
      <c r="L37" s="37">
        <v>0</v>
      </c>
      <c r="M37" s="37">
        <v>656022</v>
      </c>
      <c r="N37" s="37">
        <v>656021.21400000004</v>
      </c>
      <c r="R37" s="50"/>
    </row>
    <row r="38" spans="1:18" ht="16" customHeight="1" x14ac:dyDescent="0.35">
      <c r="A38" s="49"/>
      <c r="J38" s="37">
        <v>4</v>
      </c>
      <c r="K38" s="37" t="s">
        <v>109</v>
      </c>
      <c r="L38" s="37">
        <v>0</v>
      </c>
      <c r="M38" s="37">
        <v>656022</v>
      </c>
      <c r="N38" s="37">
        <v>656021.201</v>
      </c>
      <c r="R38" s="50"/>
    </row>
    <row r="39" spans="1:18" ht="16" customHeight="1" x14ac:dyDescent="0.35">
      <c r="A39" s="49"/>
      <c r="J39" s="37">
        <v>5</v>
      </c>
      <c r="K39" s="37" t="s">
        <v>109</v>
      </c>
      <c r="L39" s="37">
        <v>0</v>
      </c>
      <c r="M39" s="37">
        <v>656022</v>
      </c>
      <c r="N39" s="37">
        <v>656021.15599999996</v>
      </c>
      <c r="R39" s="50"/>
    </row>
    <row r="40" spans="1:18" ht="16" customHeight="1" x14ac:dyDescent="0.35">
      <c r="A40" s="49"/>
      <c r="J40" s="37">
        <v>6</v>
      </c>
      <c r="K40" s="37" t="s">
        <v>109</v>
      </c>
      <c r="L40" s="37">
        <v>0</v>
      </c>
      <c r="M40" s="37">
        <v>656022</v>
      </c>
      <c r="N40" s="37">
        <v>656021.15399999998</v>
      </c>
      <c r="R40" s="50"/>
    </row>
    <row r="41" spans="1:18" ht="16" customHeight="1" thickBot="1" x14ac:dyDescent="0.4">
      <c r="A41" s="52"/>
      <c r="B41" s="53"/>
      <c r="C41" s="53"/>
      <c r="D41" s="53"/>
      <c r="E41" s="53"/>
      <c r="F41" s="53"/>
      <c r="G41" s="53"/>
      <c r="H41" s="53"/>
      <c r="I41" s="53"/>
      <c r="J41" s="54">
        <v>7</v>
      </c>
      <c r="K41" s="54" t="s">
        <v>109</v>
      </c>
      <c r="L41" s="54">
        <v>0</v>
      </c>
      <c r="M41" s="54">
        <v>656022</v>
      </c>
      <c r="N41" s="54">
        <v>656021.13899999997</v>
      </c>
      <c r="O41" s="53"/>
      <c r="P41" s="53"/>
      <c r="Q41" s="53"/>
      <c r="R41" s="55"/>
    </row>
    <row r="42" spans="1:18" ht="16" customHeight="1" thickBot="1" x14ac:dyDescent="0.4"/>
    <row r="43" spans="1:18" ht="16" customHeight="1" x14ac:dyDescent="0.35">
      <c r="A43" s="44" t="s">
        <v>83</v>
      </c>
      <c r="B43" s="78" t="s">
        <v>52</v>
      </c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9"/>
    </row>
    <row r="44" spans="1:18" ht="16" customHeight="1" x14ac:dyDescent="0.35">
      <c r="A44" s="45" t="s">
        <v>63</v>
      </c>
      <c r="B44" s="34" t="s">
        <v>64</v>
      </c>
      <c r="C44" s="34" t="s">
        <v>65</v>
      </c>
      <c r="D44" s="34" t="s">
        <v>57</v>
      </c>
      <c r="E44" s="34" t="s">
        <v>66</v>
      </c>
      <c r="F44" s="34" t="s">
        <v>67</v>
      </c>
      <c r="G44" s="34" t="s">
        <v>68</v>
      </c>
      <c r="H44" s="34" t="s">
        <v>69</v>
      </c>
      <c r="I44" s="34" t="s">
        <v>70</v>
      </c>
      <c r="J44" s="34" t="s">
        <v>71</v>
      </c>
      <c r="K44" s="34" t="s">
        <v>72</v>
      </c>
      <c r="L44" s="34" t="s">
        <v>73</v>
      </c>
      <c r="M44" s="34" t="s">
        <v>74</v>
      </c>
      <c r="N44" s="34" t="s">
        <v>75</v>
      </c>
      <c r="O44" s="34" t="s">
        <v>76</v>
      </c>
      <c r="P44" s="34" t="s">
        <v>77</v>
      </c>
      <c r="Q44" s="34" t="s">
        <v>78</v>
      </c>
      <c r="R44" s="46" t="s">
        <v>79</v>
      </c>
    </row>
    <row r="45" spans="1:18" ht="16" customHeight="1" x14ac:dyDescent="0.35">
      <c r="A45" s="47">
        <v>2048</v>
      </c>
      <c r="B45" s="37">
        <v>2622</v>
      </c>
      <c r="C45" s="37">
        <v>47834</v>
      </c>
      <c r="D45" s="37">
        <v>2956556</v>
      </c>
      <c r="E45" s="37">
        <v>99.91</v>
      </c>
      <c r="F45" s="37">
        <v>30241</v>
      </c>
      <c r="G45" s="37">
        <v>57662</v>
      </c>
      <c r="H45" s="37">
        <v>104609</v>
      </c>
      <c r="I45" s="37">
        <v>71.09</v>
      </c>
      <c r="J45" s="37">
        <v>29</v>
      </c>
      <c r="K45" s="37">
        <v>3</v>
      </c>
      <c r="L45" s="37">
        <v>0</v>
      </c>
      <c r="M45" s="37">
        <v>196</v>
      </c>
      <c r="N45" s="37">
        <v>0</v>
      </c>
      <c r="O45" s="37">
        <v>0</v>
      </c>
      <c r="P45" s="37" t="s">
        <v>80</v>
      </c>
      <c r="Q45" s="37">
        <v>8254</v>
      </c>
      <c r="R45" s="48" t="s">
        <v>81</v>
      </c>
    </row>
    <row r="46" spans="1:18" ht="16" customHeight="1" x14ac:dyDescent="0.35">
      <c r="A46" s="47">
        <v>6144</v>
      </c>
      <c r="B46" s="37">
        <v>48987</v>
      </c>
      <c r="C46" s="37">
        <v>1419564</v>
      </c>
      <c r="D46" s="37">
        <v>13088659</v>
      </c>
      <c r="E46" s="37">
        <v>99.63</v>
      </c>
      <c r="F46" s="37">
        <v>5292</v>
      </c>
      <c r="G46" s="37">
        <v>15876</v>
      </c>
      <c r="H46" s="37">
        <v>78949</v>
      </c>
      <c r="I46" s="37">
        <v>93.3</v>
      </c>
      <c r="J46" s="37">
        <v>512</v>
      </c>
      <c r="K46" s="37">
        <v>61</v>
      </c>
      <c r="L46" s="37">
        <v>0</v>
      </c>
      <c r="M46" s="37">
        <v>190</v>
      </c>
      <c r="N46" s="37">
        <v>0</v>
      </c>
      <c r="O46" s="37">
        <v>0</v>
      </c>
      <c r="P46" s="37" t="s">
        <v>80</v>
      </c>
      <c r="Q46" s="37">
        <v>5292</v>
      </c>
      <c r="R46" s="48" t="s">
        <v>82</v>
      </c>
    </row>
    <row r="47" spans="1:18" ht="16" customHeight="1" x14ac:dyDescent="0.35">
      <c r="A47" s="49"/>
      <c r="R47" s="50"/>
    </row>
    <row r="48" spans="1:18" ht="16" customHeight="1" x14ac:dyDescent="0.35">
      <c r="A48" s="80" t="s">
        <v>103</v>
      </c>
      <c r="B48" s="81"/>
      <c r="C48" s="81"/>
      <c r="D48" s="81"/>
      <c r="E48" s="81"/>
      <c r="F48" s="81"/>
      <c r="G48" s="81"/>
      <c r="H48" s="81"/>
      <c r="J48" s="81" t="s">
        <v>104</v>
      </c>
      <c r="K48" s="81"/>
      <c r="L48" s="81"/>
      <c r="M48" s="81"/>
      <c r="N48" s="81"/>
      <c r="R48" s="50"/>
    </row>
    <row r="49" spans="1:18" ht="16" customHeight="1" x14ac:dyDescent="0.35">
      <c r="A49" s="51" t="s">
        <v>84</v>
      </c>
      <c r="B49" s="36" t="s">
        <v>85</v>
      </c>
      <c r="C49" s="36" t="s">
        <v>86</v>
      </c>
      <c r="D49" s="36" t="s">
        <v>87</v>
      </c>
      <c r="E49" s="36" t="s">
        <v>88</v>
      </c>
      <c r="F49" s="36" t="s">
        <v>89</v>
      </c>
      <c r="G49" s="36" t="s">
        <v>90</v>
      </c>
      <c r="H49" s="36" t="s">
        <v>91</v>
      </c>
      <c r="J49" s="36" t="s">
        <v>105</v>
      </c>
      <c r="K49" s="36" t="s">
        <v>106</v>
      </c>
      <c r="L49" s="36" t="s">
        <v>124</v>
      </c>
      <c r="M49" s="36" t="s">
        <v>107</v>
      </c>
      <c r="N49" s="36" t="s">
        <v>108</v>
      </c>
      <c r="O49" s="56" t="s">
        <v>75</v>
      </c>
      <c r="P49" s="56" t="s">
        <v>76</v>
      </c>
      <c r="Q49" s="56" t="s">
        <v>78</v>
      </c>
      <c r="R49" s="50"/>
    </row>
    <row r="50" spans="1:18" ht="16" customHeight="1" x14ac:dyDescent="0.35">
      <c r="A50" s="47">
        <v>419430465</v>
      </c>
      <c r="B50" s="37" t="s">
        <v>119</v>
      </c>
      <c r="C50" s="37" t="s">
        <v>93</v>
      </c>
      <c r="D50" s="37">
        <v>60817408</v>
      </c>
      <c r="E50" s="37">
        <v>1154152</v>
      </c>
      <c r="F50" s="37" t="s">
        <v>94</v>
      </c>
      <c r="G50" s="37">
        <v>14568</v>
      </c>
      <c r="H50" s="37">
        <v>280</v>
      </c>
      <c r="J50" s="37">
        <v>0</v>
      </c>
      <c r="K50" s="37" t="s">
        <v>109</v>
      </c>
      <c r="L50" s="37">
        <v>4197</v>
      </c>
      <c r="M50" s="37">
        <v>660437</v>
      </c>
      <c r="N50" s="37">
        <v>656232.92500000005</v>
      </c>
      <c r="O50" s="56">
        <v>0</v>
      </c>
      <c r="P50" s="56">
        <v>0</v>
      </c>
      <c r="Q50" s="56">
        <v>6484</v>
      </c>
      <c r="R50" s="50"/>
    </row>
    <row r="51" spans="1:18" ht="16" customHeight="1" x14ac:dyDescent="0.35">
      <c r="A51" s="47">
        <v>419430466</v>
      </c>
      <c r="B51" s="37" t="s">
        <v>120</v>
      </c>
      <c r="C51" s="37" t="s">
        <v>96</v>
      </c>
      <c r="D51" s="37">
        <v>268435456</v>
      </c>
      <c r="E51" s="37">
        <v>3147384</v>
      </c>
      <c r="F51" s="37" t="s">
        <v>97</v>
      </c>
      <c r="G51" s="37">
        <v>23034</v>
      </c>
      <c r="H51" s="37">
        <v>42502</v>
      </c>
      <c r="J51" s="37">
        <v>1</v>
      </c>
      <c r="K51" s="37" t="s">
        <v>109</v>
      </c>
      <c r="L51" s="37">
        <v>972</v>
      </c>
      <c r="M51" s="37">
        <v>657213</v>
      </c>
      <c r="N51" s="37">
        <v>656240.53</v>
      </c>
      <c r="R51" s="50"/>
    </row>
    <row r="52" spans="1:18" ht="16" customHeight="1" x14ac:dyDescent="0.35">
      <c r="A52" s="47">
        <v>419430467</v>
      </c>
      <c r="B52" s="37" t="s">
        <v>121</v>
      </c>
      <c r="C52" s="37" t="s">
        <v>99</v>
      </c>
      <c r="D52" s="37">
        <v>68157440</v>
      </c>
      <c r="E52" s="37">
        <v>1</v>
      </c>
      <c r="F52" s="37" t="s">
        <v>100</v>
      </c>
      <c r="G52" s="37">
        <v>16640</v>
      </c>
      <c r="H52" s="37">
        <v>0</v>
      </c>
      <c r="J52" s="37">
        <v>2</v>
      </c>
      <c r="K52" s="37" t="s">
        <v>109</v>
      </c>
      <c r="L52" s="37">
        <v>378</v>
      </c>
      <c r="M52" s="37">
        <v>656619</v>
      </c>
      <c r="N52" s="37">
        <v>656240.61800000002</v>
      </c>
      <c r="R52" s="50"/>
    </row>
    <row r="53" spans="1:18" ht="16" customHeight="1" x14ac:dyDescent="0.35">
      <c r="A53" s="47">
        <v>419430468</v>
      </c>
      <c r="B53" s="37" t="s">
        <v>122</v>
      </c>
      <c r="C53" s="37" t="s">
        <v>102</v>
      </c>
      <c r="D53" s="37">
        <v>637534208</v>
      </c>
      <c r="E53" s="37">
        <v>1</v>
      </c>
      <c r="F53" s="37" t="s">
        <v>100</v>
      </c>
      <c r="G53" s="37">
        <v>155648</v>
      </c>
      <c r="H53" s="37">
        <v>0</v>
      </c>
      <c r="J53" s="37">
        <v>3</v>
      </c>
      <c r="K53" s="37" t="s">
        <v>109</v>
      </c>
      <c r="L53" s="37">
        <v>0</v>
      </c>
      <c r="M53" s="37">
        <v>656241</v>
      </c>
      <c r="N53" s="37">
        <v>656241.23800000001</v>
      </c>
      <c r="R53" s="50"/>
    </row>
    <row r="54" spans="1:18" ht="16" customHeight="1" x14ac:dyDescent="0.35">
      <c r="A54" s="49"/>
      <c r="J54" s="37">
        <v>4</v>
      </c>
      <c r="K54" s="37" t="s">
        <v>109</v>
      </c>
      <c r="L54" s="37">
        <v>0</v>
      </c>
      <c r="M54" s="37">
        <v>656241</v>
      </c>
      <c r="N54" s="37">
        <v>656241.21799999999</v>
      </c>
      <c r="R54" s="50"/>
    </row>
    <row r="55" spans="1:18" ht="16" customHeight="1" x14ac:dyDescent="0.35">
      <c r="A55" s="49"/>
      <c r="J55" s="37">
        <v>5</v>
      </c>
      <c r="K55" s="37" t="s">
        <v>109</v>
      </c>
      <c r="L55" s="37">
        <v>0</v>
      </c>
      <c r="M55" s="37">
        <v>656241</v>
      </c>
      <c r="N55" s="37">
        <v>656241.17599999998</v>
      </c>
      <c r="R55" s="50"/>
    </row>
    <row r="56" spans="1:18" ht="16" customHeight="1" x14ac:dyDescent="0.35">
      <c r="A56" s="49"/>
      <c r="J56" s="37">
        <v>6</v>
      </c>
      <c r="K56" s="37" t="s">
        <v>109</v>
      </c>
      <c r="L56" s="37">
        <v>0</v>
      </c>
      <c r="M56" s="37">
        <v>656241</v>
      </c>
      <c r="N56" s="37">
        <v>656241.16899999999</v>
      </c>
      <c r="R56" s="50"/>
    </row>
    <row r="57" spans="1:18" ht="16" customHeight="1" thickBot="1" x14ac:dyDescent="0.4">
      <c r="A57" s="52"/>
      <c r="B57" s="53"/>
      <c r="C57" s="53"/>
      <c r="D57" s="53"/>
      <c r="E57" s="53"/>
      <c r="F57" s="53"/>
      <c r="G57" s="53"/>
      <c r="H57" s="53"/>
      <c r="I57" s="53"/>
      <c r="J57" s="54">
        <v>7</v>
      </c>
      <c r="K57" s="54" t="s">
        <v>109</v>
      </c>
      <c r="L57" s="54">
        <v>0</v>
      </c>
      <c r="M57" s="54">
        <v>656241</v>
      </c>
      <c r="N57" s="54">
        <v>656241.16</v>
      </c>
      <c r="O57" s="53"/>
      <c r="P57" s="53"/>
      <c r="Q57" s="53"/>
      <c r="R57" s="55"/>
    </row>
    <row r="58" spans="1:18" ht="16" customHeight="1" thickBot="1" x14ac:dyDescent="0.4"/>
    <row r="59" spans="1:18" ht="16" customHeight="1" x14ac:dyDescent="0.35">
      <c r="A59" s="44" t="s">
        <v>83</v>
      </c>
      <c r="B59" s="78" t="s">
        <v>53</v>
      </c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9"/>
    </row>
    <row r="60" spans="1:18" ht="16" customHeight="1" x14ac:dyDescent="0.35">
      <c r="A60" s="45" t="s">
        <v>63</v>
      </c>
      <c r="B60" s="34" t="s">
        <v>64</v>
      </c>
      <c r="C60" s="34" t="s">
        <v>65</v>
      </c>
      <c r="D60" s="34" t="s">
        <v>57</v>
      </c>
      <c r="E60" s="34" t="s">
        <v>66</v>
      </c>
      <c r="F60" s="34" t="s">
        <v>67</v>
      </c>
      <c r="G60" s="34" t="s">
        <v>68</v>
      </c>
      <c r="H60" s="34" t="s">
        <v>69</v>
      </c>
      <c r="I60" s="34" t="s">
        <v>70</v>
      </c>
      <c r="J60" s="34" t="s">
        <v>71</v>
      </c>
      <c r="K60" s="34" t="s">
        <v>72</v>
      </c>
      <c r="L60" s="34" t="s">
        <v>73</v>
      </c>
      <c r="M60" s="34" t="s">
        <v>74</v>
      </c>
      <c r="N60" s="34" t="s">
        <v>75</v>
      </c>
      <c r="O60" s="34" t="s">
        <v>76</v>
      </c>
      <c r="P60" s="34" t="s">
        <v>77</v>
      </c>
      <c r="Q60" s="34" t="s">
        <v>78</v>
      </c>
      <c r="R60" s="46" t="s">
        <v>79</v>
      </c>
    </row>
    <row r="61" spans="1:18" ht="16" customHeight="1" x14ac:dyDescent="0.35">
      <c r="A61" s="47">
        <v>2048</v>
      </c>
      <c r="B61" s="37">
        <v>2457</v>
      </c>
      <c r="C61" s="37">
        <v>42131</v>
      </c>
      <c r="D61" s="37">
        <v>4518546</v>
      </c>
      <c r="E61" s="37">
        <v>99.95</v>
      </c>
      <c r="F61" s="37">
        <v>20303</v>
      </c>
      <c r="G61" s="37">
        <v>88054</v>
      </c>
      <c r="H61" s="37">
        <v>128369</v>
      </c>
      <c r="I61" s="37">
        <v>84.18</v>
      </c>
      <c r="J61" s="37">
        <v>0</v>
      </c>
      <c r="K61" s="37">
        <v>0</v>
      </c>
      <c r="L61" s="37">
        <v>0</v>
      </c>
      <c r="M61" s="37">
        <v>193</v>
      </c>
      <c r="N61" s="37">
        <v>0</v>
      </c>
      <c r="O61" s="37">
        <v>0</v>
      </c>
      <c r="P61" s="37" t="s">
        <v>80</v>
      </c>
      <c r="Q61" s="37">
        <v>8014</v>
      </c>
      <c r="R61" s="48" t="s">
        <v>81</v>
      </c>
    </row>
    <row r="62" spans="1:18" ht="16" customHeight="1" x14ac:dyDescent="0.35">
      <c r="A62" s="47">
        <v>6144</v>
      </c>
      <c r="B62" s="37">
        <v>39370</v>
      </c>
      <c r="C62" s="37">
        <v>604554</v>
      </c>
      <c r="D62" s="37">
        <v>24118813</v>
      </c>
      <c r="E62" s="37">
        <v>99.84</v>
      </c>
      <c r="F62" s="37">
        <v>18920</v>
      </c>
      <c r="G62" s="37">
        <v>56760</v>
      </c>
      <c r="H62" s="37">
        <v>96989</v>
      </c>
      <c r="I62" s="37">
        <v>80.489999999999995</v>
      </c>
      <c r="J62" s="37">
        <v>304</v>
      </c>
      <c r="K62" s="37">
        <v>8</v>
      </c>
      <c r="L62" s="37">
        <v>0</v>
      </c>
      <c r="M62" s="37">
        <v>113</v>
      </c>
      <c r="N62" s="37">
        <v>0</v>
      </c>
      <c r="O62" s="37">
        <v>0</v>
      </c>
      <c r="P62" s="37" t="s">
        <v>80</v>
      </c>
      <c r="Q62" s="37">
        <v>18920</v>
      </c>
      <c r="R62" s="48" t="s">
        <v>82</v>
      </c>
    </row>
    <row r="63" spans="1:18" ht="16" customHeight="1" x14ac:dyDescent="0.35">
      <c r="A63" s="49"/>
      <c r="R63" s="50"/>
    </row>
    <row r="64" spans="1:18" ht="16" customHeight="1" x14ac:dyDescent="0.35">
      <c r="A64" s="80" t="s">
        <v>103</v>
      </c>
      <c r="B64" s="81"/>
      <c r="C64" s="81"/>
      <c r="D64" s="81"/>
      <c r="E64" s="81"/>
      <c r="F64" s="81"/>
      <c r="G64" s="81"/>
      <c r="H64" s="81"/>
      <c r="J64" s="81" t="s">
        <v>104</v>
      </c>
      <c r="K64" s="81"/>
      <c r="L64" s="81"/>
      <c r="M64" s="81"/>
      <c r="N64" s="81"/>
      <c r="R64" s="50"/>
    </row>
    <row r="65" spans="1:18" ht="16" customHeight="1" x14ac:dyDescent="0.35">
      <c r="A65" s="51" t="s">
        <v>84</v>
      </c>
      <c r="B65" s="36" t="s">
        <v>85</v>
      </c>
      <c r="C65" s="36" t="s">
        <v>86</v>
      </c>
      <c r="D65" s="36" t="s">
        <v>87</v>
      </c>
      <c r="E65" s="36" t="s">
        <v>88</v>
      </c>
      <c r="F65" s="36" t="s">
        <v>89</v>
      </c>
      <c r="G65" s="36" t="s">
        <v>90</v>
      </c>
      <c r="H65" s="36" t="s">
        <v>91</v>
      </c>
      <c r="J65" s="36" t="s">
        <v>105</v>
      </c>
      <c r="K65" s="36" t="s">
        <v>106</v>
      </c>
      <c r="L65" s="36" t="s">
        <v>123</v>
      </c>
      <c r="M65" s="36" t="s">
        <v>107</v>
      </c>
      <c r="N65" s="36" t="s">
        <v>108</v>
      </c>
      <c r="O65" s="56" t="s">
        <v>75</v>
      </c>
      <c r="P65" s="56" t="s">
        <v>76</v>
      </c>
      <c r="Q65" s="56" t="s">
        <v>78</v>
      </c>
      <c r="R65" s="50"/>
    </row>
    <row r="66" spans="1:18" ht="16" customHeight="1" x14ac:dyDescent="0.35">
      <c r="A66" s="47">
        <v>419430476</v>
      </c>
      <c r="B66" s="37" t="s">
        <v>92</v>
      </c>
      <c r="C66" s="37" t="s">
        <v>93</v>
      </c>
      <c r="D66" s="37">
        <v>60817408</v>
      </c>
      <c r="E66" s="37">
        <v>1154152</v>
      </c>
      <c r="F66" s="37" t="s">
        <v>94</v>
      </c>
      <c r="G66" s="37">
        <v>14568</v>
      </c>
      <c r="H66" s="37">
        <v>280</v>
      </c>
      <c r="J66" s="37">
        <v>0</v>
      </c>
      <c r="K66" s="37" t="s">
        <v>109</v>
      </c>
      <c r="L66" s="37">
        <v>3870</v>
      </c>
      <c r="M66" s="37">
        <v>659055</v>
      </c>
      <c r="N66" s="37">
        <v>655173.74699999997</v>
      </c>
      <c r="O66" s="56">
        <v>0</v>
      </c>
      <c r="P66" s="56">
        <v>0</v>
      </c>
      <c r="Q66" s="56">
        <v>9368</v>
      </c>
      <c r="R66" s="50"/>
    </row>
    <row r="67" spans="1:18" ht="16" customHeight="1" x14ac:dyDescent="0.35">
      <c r="A67" s="47">
        <v>419430477</v>
      </c>
      <c r="B67" s="37" t="s">
        <v>95</v>
      </c>
      <c r="C67" s="37" t="s">
        <v>96</v>
      </c>
      <c r="D67" s="37">
        <v>268435456</v>
      </c>
      <c r="E67" s="37">
        <v>3147384</v>
      </c>
      <c r="F67" s="37" t="s">
        <v>97</v>
      </c>
      <c r="G67" s="37">
        <v>16718</v>
      </c>
      <c r="H67" s="37">
        <v>48818</v>
      </c>
      <c r="J67" s="37">
        <v>1</v>
      </c>
      <c r="K67" s="37" t="s">
        <v>109</v>
      </c>
      <c r="L67" s="37">
        <v>2109</v>
      </c>
      <c r="M67" s="37">
        <v>657296</v>
      </c>
      <c r="N67" s="37">
        <v>655181.87100000004</v>
      </c>
      <c r="R67" s="50"/>
    </row>
    <row r="68" spans="1:18" ht="16" customHeight="1" x14ac:dyDescent="0.35">
      <c r="A68" s="47">
        <v>419430478</v>
      </c>
      <c r="B68" s="37" t="s">
        <v>98</v>
      </c>
      <c r="C68" s="37" t="s">
        <v>99</v>
      </c>
      <c r="D68" s="37">
        <v>68157440</v>
      </c>
      <c r="E68" s="37">
        <v>1</v>
      </c>
      <c r="F68" s="37" t="s">
        <v>100</v>
      </c>
      <c r="G68" s="37">
        <v>16640</v>
      </c>
      <c r="H68" s="37">
        <v>0</v>
      </c>
      <c r="J68" s="37">
        <v>2</v>
      </c>
      <c r="K68" s="37" t="s">
        <v>109</v>
      </c>
      <c r="L68" s="37">
        <v>380</v>
      </c>
      <c r="M68" s="37">
        <v>655567</v>
      </c>
      <c r="N68" s="37">
        <v>655185.625</v>
      </c>
      <c r="R68" s="50"/>
    </row>
    <row r="69" spans="1:18" ht="16" customHeight="1" x14ac:dyDescent="0.35">
      <c r="A69" s="47">
        <v>419430479</v>
      </c>
      <c r="B69" s="37" t="s">
        <v>101</v>
      </c>
      <c r="C69" s="37" t="s">
        <v>102</v>
      </c>
      <c r="D69" s="37">
        <v>637534208</v>
      </c>
      <c r="E69" s="37">
        <v>1</v>
      </c>
      <c r="F69" s="37" t="s">
        <v>100</v>
      </c>
      <c r="G69" s="37">
        <v>155648</v>
      </c>
      <c r="H69" s="37">
        <v>0</v>
      </c>
      <c r="J69" s="37">
        <v>3</v>
      </c>
      <c r="K69" s="37" t="s">
        <v>109</v>
      </c>
      <c r="L69" s="37">
        <v>1</v>
      </c>
      <c r="M69" s="37">
        <v>655188</v>
      </c>
      <c r="N69" s="37">
        <v>655186.23699999996</v>
      </c>
      <c r="R69" s="50"/>
    </row>
    <row r="70" spans="1:18" ht="16" customHeight="1" x14ac:dyDescent="0.35">
      <c r="A70" s="49"/>
      <c r="J70" s="37">
        <v>4</v>
      </c>
      <c r="K70" s="37" t="s">
        <v>109</v>
      </c>
      <c r="L70" s="37">
        <v>0</v>
      </c>
      <c r="M70" s="37">
        <v>655187</v>
      </c>
      <c r="N70" s="37">
        <v>655186.23600000003</v>
      </c>
      <c r="R70" s="50"/>
    </row>
    <row r="71" spans="1:18" ht="16" customHeight="1" x14ac:dyDescent="0.35">
      <c r="A71" s="49"/>
      <c r="J71" s="37">
        <v>5</v>
      </c>
      <c r="K71" s="37" t="s">
        <v>109</v>
      </c>
      <c r="L71" s="37">
        <v>0</v>
      </c>
      <c r="M71" s="37">
        <v>655187</v>
      </c>
      <c r="N71" s="37">
        <v>655186.18299999996</v>
      </c>
      <c r="R71" s="50"/>
    </row>
    <row r="72" spans="1:18" ht="16" customHeight="1" x14ac:dyDescent="0.35">
      <c r="A72" s="49"/>
      <c r="J72" s="37">
        <v>6</v>
      </c>
      <c r="K72" s="37" t="s">
        <v>109</v>
      </c>
      <c r="L72" s="37">
        <v>0</v>
      </c>
      <c r="M72" s="37">
        <v>655187</v>
      </c>
      <c r="N72" s="37">
        <v>655186.18999999994</v>
      </c>
      <c r="R72" s="50"/>
    </row>
    <row r="73" spans="1:18" ht="16" customHeight="1" thickBot="1" x14ac:dyDescent="0.4">
      <c r="A73" s="52"/>
      <c r="B73" s="53"/>
      <c r="C73" s="53"/>
      <c r="D73" s="53"/>
      <c r="E73" s="53"/>
      <c r="F73" s="53"/>
      <c r="G73" s="53"/>
      <c r="H73" s="53"/>
      <c r="I73" s="53"/>
      <c r="J73" s="54">
        <v>7</v>
      </c>
      <c r="K73" s="54" t="s">
        <v>109</v>
      </c>
      <c r="L73" s="54">
        <v>0</v>
      </c>
      <c r="M73" s="54">
        <v>655187</v>
      </c>
      <c r="N73" s="54">
        <v>655186.18400000001</v>
      </c>
      <c r="O73" s="53"/>
      <c r="P73" s="53"/>
      <c r="Q73" s="53"/>
      <c r="R73" s="55"/>
    </row>
  </sheetData>
  <mergeCells count="15">
    <mergeCell ref="A1:E1"/>
    <mergeCell ref="B2:E2"/>
    <mergeCell ref="A2:A3"/>
    <mergeCell ref="B11:R11"/>
    <mergeCell ref="B27:R27"/>
    <mergeCell ref="B43:R43"/>
    <mergeCell ref="A16:H16"/>
    <mergeCell ref="A32:H32"/>
    <mergeCell ref="A64:H64"/>
    <mergeCell ref="J16:N16"/>
    <mergeCell ref="J32:N32"/>
    <mergeCell ref="J48:N48"/>
    <mergeCell ref="J64:N64"/>
    <mergeCell ref="B59:R59"/>
    <mergeCell ref="A48:H48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DB_Extents_Size</vt:lpstr>
      <vt:lpstr>Sheet2</vt:lpstr>
      <vt:lpstr>Config_Analysis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Sulochana Vemula, Vodafone</dc:creator>
  <cp:lastModifiedBy>Sulochana Vemula, Vodafone</cp:lastModifiedBy>
  <dcterms:created xsi:type="dcterms:W3CDTF">2026-05-21T12:12:18Z</dcterms:created>
  <dcterms:modified xsi:type="dcterms:W3CDTF">2026-08-03T11:06:31Z</dcterms:modified>
</cp:coreProperties>
</file>